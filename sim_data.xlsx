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9556\Desktop\pyfluent-airfoil-optimization\"/>
    </mc:Choice>
  </mc:AlternateContent>
  <xr:revisionPtr revIDLastSave="0" documentId="13_ncr:1_{4B6B8BA9-6946-43CC-8506-FFB4AA943D23}" xr6:coauthVersionLast="47" xr6:coauthVersionMax="47" xr10:uidLastSave="{00000000-0000-0000-0000-000000000000}"/>
  <bookViews>
    <workbookView xWindow="11460" yWindow="600" windowWidth="11604" windowHeight="12384" tabRatio="904" xr2:uid="{00000000-000D-0000-FFFF-FFFF00000000}"/>
  </bookViews>
  <sheets>
    <sheet name="meshing_data" sheetId="1" r:id="rId1"/>
    <sheet name="solution_data" sheetId="2" r:id="rId2"/>
    <sheet name="adjoint_data" sheetId="3" r:id="rId3"/>
    <sheet name="Sheet1" sheetId="27" state="hidden" r:id="rId4"/>
    <sheet name="laptop_info" sheetId="24" state="hidden" r:id="rId5"/>
    <sheet name="NASA_SC(2)_0714" sheetId="37" state="hidden" r:id="rId6"/>
    <sheet name="NACA_2412" sheetId="36" state="hidden" r:id="rId7"/>
    <sheet name="NACA_0012" sheetId="35" state="hidden" r:id="rId8"/>
    <sheet name="BACXXX" sheetId="34" state="hidden" r:id="rId9"/>
    <sheet name="mesh_paths" sheetId="7" r:id="rId10"/>
    <sheet name="solution_paths" sheetId="8" r:id="rId11"/>
    <sheet name="setup" sheetId="9" r:id="rId12"/>
  </sheets>
  <externalReferences>
    <externalReference r:id="rId13"/>
    <externalReference r:id="rId14"/>
  </externalReferences>
  <definedNames>
    <definedName name="adbtc_indx">[1]Calculations!$B$7</definedName>
    <definedName name="ExternalData_1" localSheetId="8" hidden="1">BACXXX!$A$2:$B$33</definedName>
    <definedName name="ExternalData_2" localSheetId="7" hidden="1">NACA_0012!$A$2:$B$43</definedName>
    <definedName name="ExternalData_3" localSheetId="6" hidden="1">NACA_2412!$A$2:$B$43</definedName>
    <definedName name="ExternalData_4" localSheetId="5" hidden="1">'NASA_SC(2)_0714'!$A$2:$B$71</definedName>
    <definedName name="g">#REF!</definedName>
    <definedName name="g_2">[1]Calculations!$B$14</definedName>
    <definedName name="mew_0">[1]Calculations!$B$20</definedName>
    <definedName name="p_sl">[2]Calculations!$B$13</definedName>
    <definedName name="p_sl2">[1]Calculations!$B$13</definedName>
    <definedName name="rho_sl">#REF!</definedName>
    <definedName name="rho_sl2">[1]Calculations!$B$15</definedName>
    <definedName name="sl_temp">#REF!</definedName>
    <definedName name="sl_temp2">[1]Calculations!$B$2</definedName>
    <definedName name="spc_gas_cnst">#REF!</definedName>
    <definedName name="spc_gas_cnst_2">[1]Calculations!$B$8</definedName>
    <definedName name="suth_const">[1]Calculations!$B$21</definedName>
    <definedName name="temp_lapse">#REF!</definedName>
    <definedName name="temp_lapse_2">[1]Calculations!$B$3</definedName>
    <definedName name="testing">meshing_table[[#Headers],[file_path]]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AH2" i="1"/>
  <c r="AA2" i="1" s="1"/>
  <c r="B18" i="24" l="1"/>
  <c r="B22" i="24"/>
  <c r="B36" i="24"/>
  <c r="B31" i="24"/>
  <c r="B26" i="24"/>
  <c r="B6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tc={110E6AB6-624A-4C01-9372-4C965882A6CB}</author>
  </authors>
  <commentList>
    <comment ref="AI1" authorId="0" shapeId="0" xr:uid="{110E6AB6-624A-4C01-9372-4C965882A6CB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Doesn’t do anything anymore</t>
      </text>
    </comment>
  </commentList>
</comments>
</file>

<file path=xl/sharedStrings.xml><?xml version="1.0" encoding="utf-8"?>
<sst xmlns="http://schemas.openxmlformats.org/spreadsheetml/2006/main" count="908" uniqueCount="420">
  <si>
    <t>airfoil</t>
  </si>
  <si>
    <t>nickname</t>
  </si>
  <si>
    <t>file_path</t>
  </si>
  <si>
    <t>show_gui</t>
  </si>
  <si>
    <t>shut_down_when_done</t>
  </si>
  <si>
    <t>processor_count</t>
  </si>
  <si>
    <t>precision</t>
  </si>
  <si>
    <t>chord_len</t>
  </si>
  <si>
    <t>te_len</t>
  </si>
  <si>
    <t>has_te</t>
  </si>
  <si>
    <t>upper_name</t>
  </si>
  <si>
    <t>lower_name</t>
  </si>
  <si>
    <t>te_name</t>
  </si>
  <si>
    <t>farfield_name</t>
  </si>
  <si>
    <t>symmetry_1_name</t>
  </si>
  <si>
    <t>symmetry_2_name</t>
  </si>
  <si>
    <t>Boi_1</t>
  </si>
  <si>
    <t>Boi_1_Control_Name</t>
  </si>
  <si>
    <t>Boi_1_Execution</t>
  </si>
  <si>
    <t>Boi_1_Size</t>
  </si>
  <si>
    <t>Boi_2</t>
  </si>
  <si>
    <t>Boi_2_Control_Name</t>
  </si>
  <si>
    <t>Boi_2_Execution</t>
  </si>
  <si>
    <t>Boi_2_Min_Size</t>
  </si>
  <si>
    <t>Boi_2_Cells_Per_Gap</t>
  </si>
  <si>
    <t>Boi_2_Scope_To</t>
  </si>
  <si>
    <t>Surface_Min_Size</t>
  </si>
  <si>
    <t>Surface_Rate</t>
  </si>
  <si>
    <t>Surface_Max_Size</t>
  </si>
  <si>
    <t>Surface_Size_Function</t>
  </si>
  <si>
    <t>Surface_Curvature_Normal_Angle</t>
  </si>
  <si>
    <t>Bl_Control_Name</t>
  </si>
  <si>
    <t>Bl_Number_Of_Layers</t>
  </si>
  <si>
    <t>Bl_First_Height</t>
  </si>
  <si>
    <t>Bl_Rate</t>
  </si>
  <si>
    <t>Volume_Fill_Type</t>
  </si>
  <si>
    <t>Volume_Fill_Size</t>
  </si>
  <si>
    <t>Volume_Fill_Rate</t>
  </si>
  <si>
    <t>Units</t>
  </si>
  <si>
    <t>double</t>
  </si>
  <si>
    <t>uniform</t>
  </si>
  <si>
    <t>m</t>
  </si>
  <si>
    <t>Queue:</t>
  </si>
  <si>
    <t>COMPLETE:</t>
  </si>
  <si>
    <t>final</t>
  </si>
  <si>
    <t>pause_before_solve</t>
  </si>
  <si>
    <t>altitude</t>
  </si>
  <si>
    <t>aoa</t>
  </si>
  <si>
    <t>mach_num</t>
  </si>
  <si>
    <t>mesh_width</t>
  </si>
  <si>
    <t>iterations</t>
  </si>
  <si>
    <t>transient</t>
  </si>
  <si>
    <t>time_step_count</t>
  </si>
  <si>
    <t>time_step_size</t>
  </si>
  <si>
    <t>iters_per_time_step</t>
  </si>
  <si>
    <t>solver_type</t>
  </si>
  <si>
    <t>hybrid_initialize</t>
  </si>
  <si>
    <t>use_report_convergence</t>
  </si>
  <si>
    <t>report_convergence</t>
  </si>
  <si>
    <t>use_convergence_criteria</t>
  </si>
  <si>
    <t>convergence_criteria</t>
  </si>
  <si>
    <t>pseudo_time_method</t>
  </si>
  <si>
    <t>time_step_scale</t>
  </si>
  <si>
    <t>report_1_name</t>
  </si>
  <si>
    <t>report_2_name</t>
  </si>
  <si>
    <t>operating_pres</t>
  </si>
  <si>
    <t>visc_method</t>
  </si>
  <si>
    <t>visc_model</t>
  </si>
  <si>
    <t>k_omega_model</t>
  </si>
  <si>
    <t>surface_name</t>
  </si>
  <si>
    <t>specification_method</t>
  </si>
  <si>
    <t>turb_int</t>
  </si>
  <si>
    <t>turb_visc_ratio</t>
  </si>
  <si>
    <t>flow_scheme</t>
  </si>
  <si>
    <t>gradient_scheme</t>
  </si>
  <si>
    <t>density_scheme</t>
  </si>
  <si>
    <t>turb_kin_e_scheme</t>
  </si>
  <si>
    <t>mom_scheme</t>
  </si>
  <si>
    <t>pres_scheme</t>
  </si>
  <si>
    <t>energy_scheme</t>
  </si>
  <si>
    <t>spec_diss_rate_scheme</t>
  </si>
  <si>
    <t>mod_turb_visc</t>
  </si>
  <si>
    <t>compressibility_effects</t>
  </si>
  <si>
    <t>curvature_correction</t>
  </si>
  <si>
    <t>high_order_term_relax</t>
  </si>
  <si>
    <t>relaxation_factor</t>
  </si>
  <si>
    <t>under_relaxation</t>
  </si>
  <si>
    <t>courant_number</t>
  </si>
  <si>
    <t>warped_face_gradient</t>
  </si>
  <si>
    <t>generate_mach_cont</t>
  </si>
  <si>
    <t>generate_pres_cont</t>
  </si>
  <si>
    <t>generate_yplus</t>
  </si>
  <si>
    <t>generate_pres_plot</t>
  </si>
  <si>
    <t>contour_lines</t>
  </si>
  <si>
    <t>smooth_or_banded</t>
  </si>
  <si>
    <t>pressure-based</t>
  </si>
  <si>
    <t>k-omega</t>
  </si>
  <si>
    <t>geko</t>
  </si>
  <si>
    <t>banded</t>
  </si>
  <si>
    <t>off</t>
  </si>
  <si>
    <t>Coupled</t>
  </si>
  <si>
    <t>act_3D</t>
  </si>
  <si>
    <t>global-time-step</t>
  </si>
  <si>
    <t>infinite_mode</t>
  </si>
  <si>
    <t>maintain_len</t>
  </si>
  <si>
    <t>change_boundary_conditions</t>
  </si>
  <si>
    <t>save_screenshots</t>
  </si>
  <si>
    <t>optimize_target</t>
  </si>
  <si>
    <t>target_change</t>
  </si>
  <si>
    <t>use_percentage</t>
  </si>
  <si>
    <t>temp_iterations</t>
  </si>
  <si>
    <t>adjoint_iterations</t>
  </si>
  <si>
    <t>optimization_loop_count</t>
  </si>
  <si>
    <t>use_energy</t>
  </si>
  <si>
    <t>use_turbulence</t>
  </si>
  <si>
    <t>use_best_match</t>
  </si>
  <si>
    <t>apply_preconditioning</t>
  </si>
  <si>
    <t>temp_time_step_count</t>
  </si>
  <si>
    <t>temp_time_step_size</t>
  </si>
  <si>
    <t>temp_iters_per_time_step</t>
  </si>
  <si>
    <t>temp_time_step_scale</t>
  </si>
  <si>
    <t>min_orth_quality_limit</t>
  </si>
  <si>
    <t>infinite_mode_max</t>
  </si>
  <si>
    <t>make_gifs</t>
  </si>
  <si>
    <t>gif_duration</t>
  </si>
  <si>
    <t>lift-to-drag</t>
  </si>
  <si>
    <t>final_30_long</t>
  </si>
  <si>
    <t>C_d</t>
  </si>
  <si>
    <t>C_l</t>
  </si>
  <si>
    <t>NACA_0012</t>
  </si>
  <si>
    <t>BACXXX</t>
  </si>
  <si>
    <t>specification method</t>
  </si>
  <si>
    <t>gradient scheme</t>
  </si>
  <si>
    <t>two_d_space</t>
  </si>
  <si>
    <t>constant</t>
  </si>
  <si>
    <t>inviscid</t>
  </si>
  <si>
    <t>standard</t>
  </si>
  <si>
    <t>Modified Turbulent Viscosity</t>
  </si>
  <si>
    <t>SIMPLE</t>
  </si>
  <si>
    <t>green-gauss-node-based</t>
  </si>
  <si>
    <t>first-order-upwind</t>
  </si>
  <si>
    <t>second-order</t>
  </si>
  <si>
    <t>smooth</t>
  </si>
  <si>
    <t>swirl</t>
  </si>
  <si>
    <t>last-ratio</t>
  </si>
  <si>
    <t>expression</t>
  </si>
  <si>
    <t>laminar</t>
  </si>
  <si>
    <t>Intensity and Length Scale</t>
  </si>
  <si>
    <t>SIMPLEC</t>
  </si>
  <si>
    <t>green-gauss-cell-based</t>
  </si>
  <si>
    <t>second-order-upwind</t>
  </si>
  <si>
    <t>density-based-implicit</t>
  </si>
  <si>
    <t>axisymmetric</t>
  </si>
  <si>
    <t>lift</t>
  </si>
  <si>
    <t>aspect-ratio</t>
  </si>
  <si>
    <t>value</t>
  </si>
  <si>
    <t>k-epsilon</t>
  </si>
  <si>
    <t>bsl</t>
  </si>
  <si>
    <t>Turbulent Viscosity Ratio</t>
  </si>
  <si>
    <t>PISO</t>
  </si>
  <si>
    <t>least-square-cell-based</t>
  </si>
  <si>
    <t>quick</t>
  </si>
  <si>
    <t>presto!</t>
  </si>
  <si>
    <t>density-based-explicit</t>
  </si>
  <si>
    <t>planar</t>
  </si>
  <si>
    <t>drag</t>
  </si>
  <si>
    <t>smooth-transition</t>
  </si>
  <si>
    <t>piecewise-linear</t>
  </si>
  <si>
    <t>sst</t>
  </si>
  <si>
    <t>Intensity and Hydraulic Diameter</t>
  </si>
  <si>
    <t>third-order-muscl</t>
  </si>
  <si>
    <t>linear</t>
  </si>
  <si>
    <t>piecewise-polynomial</t>
  </si>
  <si>
    <t>mixing-length</t>
  </si>
  <si>
    <t>wj-bsl-earsm</t>
  </si>
  <si>
    <t>body-force-weighted</t>
  </si>
  <si>
    <t>polynomial</t>
  </si>
  <si>
    <t>spalart-allmaras</t>
  </si>
  <si>
    <t>power-law</t>
  </si>
  <si>
    <t>k-kl-w</t>
  </si>
  <si>
    <t>sutherland</t>
  </si>
  <si>
    <t>transition-sst</t>
  </si>
  <si>
    <t>kinetic-theory</t>
  </si>
  <si>
    <t>reynolds-stress</t>
  </si>
  <si>
    <t>scale-adaptive-simulation</t>
  </si>
  <si>
    <t>detached-eddy-simulation</t>
  </si>
  <si>
    <t>large-eddy-simulation</t>
  </si>
  <si>
    <t>polyhedra</t>
  </si>
  <si>
    <t>Component</t>
  </si>
  <si>
    <t>Specification</t>
  </si>
  <si>
    <t>Model</t>
  </si>
  <si>
    <t>HP ENVY x360 Convertible 15-es0xxx</t>
  </si>
  <si>
    <t>Manufacturer</t>
  </si>
  <si>
    <t>HP</t>
  </si>
  <si>
    <t>Microsoft Windows 11 Home Single Language</t>
  </si>
  <si>
    <t>OS Version</t>
  </si>
  <si>
    <t>10.0.26200</t>
  </si>
  <si>
    <t>BIOS Version</t>
  </si>
  <si>
    <t>HPQOEM - 2</t>
  </si>
  <si>
    <t>PowerShell Version</t>
  </si>
  <si>
    <t>7.5.4</t>
  </si>
  <si>
    <t>SK Hynix</t>
  </si>
  <si>
    <t>HMA81GS6CJR8N-XN</t>
  </si>
  <si>
    <t>GPU 1 Name</t>
  </si>
  <si>
    <t>30.0.101.1340</t>
  </si>
  <si>
    <t>GPU 2 Name</t>
  </si>
  <si>
    <t>NVIDIA GeForce MX450</t>
  </si>
  <si>
    <t>32.0.15.8183</t>
  </si>
  <si>
    <t>11th Gen Intel(R) Core(TM) i7-1165G7 @ 2.80GHz</t>
  </si>
  <si>
    <t>Intel(R) Iris(R) Xe Graphics</t>
  </si>
  <si>
    <t>NVMe SK hynix BC711 HFM512GD3JX013N</t>
  </si>
  <si>
    <t>Fixed hard disk media</t>
  </si>
  <si>
    <t>BN03051XL</t>
  </si>
  <si>
    <t>Processors</t>
  </si>
  <si>
    <t>Total Physical Memory</t>
  </si>
  <si>
    <t>OS Name</t>
  </si>
  <si>
    <t>BIOS Release Date</t>
  </si>
  <si>
    <t>Max Clock Speed</t>
  </si>
  <si>
    <t>Number of Cores</t>
  </si>
  <si>
    <t>Number of Logical Processors</t>
  </si>
  <si>
    <t>L2 Cache Size</t>
  </si>
  <si>
    <t>L3 Cache Size</t>
  </si>
  <si>
    <t>GPU 1 Adapter RAM</t>
  </si>
  <si>
    <t>GPU 1 Driver Version</t>
  </si>
  <si>
    <t>GPU 2 Adapter RAM</t>
  </si>
  <si>
    <t>GPU 2 Driver Version</t>
  </si>
  <si>
    <t>Disk Model</t>
  </si>
  <si>
    <t>Disk Size</t>
  </si>
  <si>
    <t>Disk Media Type</t>
  </si>
  <si>
    <t>RAM 1 Manufacturer</t>
  </si>
  <si>
    <t>RAM 1 Speed</t>
  </si>
  <si>
    <t>RAM 1 Capacity</t>
  </si>
  <si>
    <t>RAM 1 Part Number</t>
  </si>
  <si>
    <t>RAM 2 Manufacturer</t>
  </si>
  <si>
    <t>RAM 2 Speed</t>
  </si>
  <si>
    <t>RAM 2 Capacity</t>
  </si>
  <si>
    <t>RAM 2 Part Number</t>
  </si>
  <si>
    <t>Battery Name</t>
  </si>
  <si>
    <t>Total Physical Memory (GB)</t>
  </si>
  <si>
    <t>Disk Size (GB)</t>
  </si>
  <si>
    <t>RAM 2 Capacity (GB)</t>
  </si>
  <si>
    <t>RAM 1 Capacity (GB)</t>
  </si>
  <si>
    <t>GPU 2 Adapter RAM (GB)</t>
  </si>
  <si>
    <t>GPU 1 Adapter RAM (GB)</t>
  </si>
  <si>
    <t>Parameter</t>
  </si>
  <si>
    <t>Default Value</t>
  </si>
  <si>
    <t>Type</t>
  </si>
  <si>
    <t>Notes</t>
  </si>
  <si>
    <t>String</t>
  </si>
  <si>
    <t>not_specified</t>
  </si>
  <si>
    <t>User-specified identifier</t>
  </si>
  <si>
    <t>Boolean</t>
  </si>
  <si>
    <t>Integer</t>
  </si>
  <si>
    <t>None</t>
  </si>
  <si>
    <t>Object</t>
  </si>
  <si>
    <t>Float</t>
  </si>
  <si>
    <t>upper</t>
  </si>
  <si>
    <t>lower</t>
  </si>
  <si>
    <t>te</t>
  </si>
  <si>
    <t>farfield</t>
  </si>
  <si>
    <t>sym1</t>
  </si>
  <si>
    <t>sym2</t>
  </si>
  <si>
    <t>airfoil_max</t>
  </si>
  <si>
    <t>Face Size</t>
  </si>
  <si>
    <t>airfoil_te</t>
  </si>
  <si>
    <t>Proximity</t>
  </si>
  <si>
    <t>edges</t>
  </si>
  <si>
    <t>Scope proximity sizing to edges</t>
  </si>
  <si>
    <t>Growth rate of surface mesh</t>
  </si>
  <si>
    <t>Curvature</t>
  </si>
  <si>
    <t>Curvature-based mesh sizing</t>
  </si>
  <si>
    <t>Boundary layer growth rate</t>
  </si>
  <si>
    <t>Volume mesh growth rate</t>
  </si>
  <si>
    <t>Metres (standard SI unit)</t>
  </si>
  <si>
    <t>report_file</t>
  </si>
  <si>
    <t>report_plot</t>
  </si>
  <si>
    <t>Drag coefficient report name</t>
  </si>
  <si>
    <t>Lift coefficient report name</t>
  </si>
  <si>
    <t>Solver algorithm</t>
  </si>
  <si>
    <t>Viscosity calculation method</t>
  </si>
  <si>
    <t>flux_report_name</t>
  </si>
  <si>
    <t>flux_report</t>
  </si>
  <si>
    <t>Intensity and Viscosity Ratio</t>
  </si>
  <si>
    <t>Turbulence specification method</t>
  </si>
  <si>
    <t>Turbulence intensity (%)</t>
  </si>
  <si>
    <t>Turbulent viscosity ratio</t>
  </si>
  <si>
    <t>Gradient computation method</t>
  </si>
  <si>
    <t>Airfoil identifier</t>
  </si>
  <si>
    <t>surface</t>
  </si>
  <si>
    <t>2D solution formulation</t>
  </si>
  <si>
    <t>Final solution viscous model (adjoint uses k-omega GEKO)</t>
  </si>
  <si>
    <t>Drag report name</t>
  </si>
  <si>
    <t>Lift report name</t>
  </si>
  <si>
    <t>Aerofoil deisgnation</t>
  </si>
  <si>
    <t>Number of logical cores used</t>
  </si>
  <si>
    <t>Meshing Function</t>
  </si>
  <si>
    <t>Chord length in metres. Standard airfoil scale</t>
  </si>
  <si>
    <t>Does the aerofoil have a trailing edge? False = closed</t>
  </si>
  <si>
    <t>Upper surface boundary label name</t>
  </si>
  <si>
    <t>Lower surface boundary label name</t>
  </si>
  <si>
    <t>Trailing edge boundary label name</t>
  </si>
  <si>
    <t>Farfield boundary label name</t>
  </si>
  <si>
    <t>Symmetry plane 1 label name</t>
  </si>
  <si>
    <t>Symmetry plane 2 label name</t>
  </si>
  <si>
    <t>Add local sizing to upper/lower surfaces</t>
  </si>
  <si>
    <t>Name of the local sizing task</t>
  </si>
  <si>
    <t>Sizing type for local sizing task</t>
  </si>
  <si>
    <t>Local sizing size. Evaluates to chord_len / 100 if unspecified</t>
  </si>
  <si>
    <t xml:space="preserve">None </t>
  </si>
  <si>
    <t>Name of the local sizing task for the trailing edge</t>
  </si>
  <si>
    <t>Sizing type for trailing edge task</t>
  </si>
  <si>
    <t>Minimum size for trailing edge task</t>
  </si>
  <si>
    <t>Number of cells per gap, if the trailing edge task is set to proximity</t>
  </si>
  <si>
    <t>Normal angle for curvature, in degrees</t>
  </si>
  <si>
    <t>Boundary layer type</t>
  </si>
  <si>
    <t>Trailing edge size, in metres</t>
  </si>
  <si>
    <t>First boundary layer height, in metres</t>
  </si>
  <si>
    <t>Number of boundary layers</t>
  </si>
  <si>
    <t>Volume fill type. Polyhedra is best [WIP MESH TYPE TRIAL]</t>
  </si>
  <si>
    <t>Surface maximum size. If unspecified, evaluates to chord_len / 2</t>
  </si>
  <si>
    <t>Volume fill size. If unspecified, evaluates to chord_len / 2</t>
  </si>
  <si>
    <t>Single vs Double Precision. If unspecified, evaluates to double</t>
  </si>
  <si>
    <t>Convergence threshold for residuals</t>
  </si>
  <si>
    <t>Mach number of freesteam air</t>
  </si>
  <si>
    <t>Angle of attack, in degrees</t>
  </si>
  <si>
    <t>Altitude above sea level, in metres</t>
  </si>
  <si>
    <t>Depth of mesh (in the z direction) in metres, used for calculating area</t>
  </si>
  <si>
    <t>Convergence threshold for drag and lift reports</t>
  </si>
  <si>
    <t>Maximum number of iterations</t>
  </si>
  <si>
    <t>Pseudo-time step time scale factor</t>
  </si>
  <si>
    <t>Operating gauge pressure, in Pascals</t>
  </si>
  <si>
    <t>Turbulence model</t>
  </si>
  <si>
    <t>Applies curvature correction if True</t>
  </si>
  <si>
    <t>Exports the drag and lift reports if True</t>
  </si>
  <si>
    <t>Generates a plot of the drag and lift reports if True</t>
  </si>
  <si>
    <t>Overwrites the default convergence values if True</t>
  </si>
  <si>
    <t>Uses the report convergence if True</t>
  </si>
  <si>
    <t>Closes Fluent after meshing is finished. Set to False if the user wishes to inspect the result before closing</t>
  </si>
  <si>
    <t>Closes Fluent after the solve is finished. Set to False if the user wishes to inspect the result before closing</t>
  </si>
  <si>
    <t>Solution Function</t>
  </si>
  <si>
    <t>Applies compressibility effects if True</t>
  </si>
  <si>
    <t>Upper surface label name</t>
  </si>
  <si>
    <t>Lower surface label name</t>
  </si>
  <si>
    <t>Farfield boundary label name (to ensure compatability with all meshes)</t>
  </si>
  <si>
    <t>Name of the mass flow report</t>
  </si>
  <si>
    <t>Pressure-velocity coupling method</t>
  </si>
  <si>
    <t>Density discretization method</t>
  </si>
  <si>
    <t>Turbulent kinetic energy discretization method</t>
  </si>
  <si>
    <t>Momentum discretization method</t>
  </si>
  <si>
    <t>Pressure discretization method</t>
  </si>
  <si>
    <t>Energy equation discretization method</t>
  </si>
  <si>
    <t>Specific dissipation rate discretization method</t>
  </si>
  <si>
    <t>Modified turbulent viscosity discretization method</t>
  </si>
  <si>
    <t>Pseudo time method</t>
  </si>
  <si>
    <t>Uses hybrid initialization if True</t>
  </si>
  <si>
    <t>Applies high order term relaxation if True</t>
  </si>
  <si>
    <t>Relaxation factor if high order term relaxation is used</t>
  </si>
  <si>
    <t>Courant number for transient solves</t>
  </si>
  <si>
    <t>Uses warped face gradient correction if True</t>
  </si>
  <si>
    <t>Surface boundary label name for 2D meshes</t>
  </si>
  <si>
    <t>Surface minimum size. If unspecified, evaluates to te_len / 2 if has_te=True, else to Bl_First_Height * 10</t>
  </si>
  <si>
    <t>Shows contour lines on Mach contours and pressure contours if True</t>
  </si>
  <si>
    <t>Smooth or banded contours</t>
  </si>
  <si>
    <t>Generates mach contours if True</t>
  </si>
  <si>
    <t>Generates pressure contours if True</t>
  </si>
  <si>
    <t>Generates the y^+ plot if True</t>
  </si>
  <si>
    <t>Generates the pressure distribution plot if true</t>
  </si>
  <si>
    <t>Specifies whether to use steady-state or transient solver</t>
  </si>
  <si>
    <t>Number of transient time steps</t>
  </si>
  <si>
    <t>Transient time step size</t>
  </si>
  <si>
    <t>Iterations per time step</t>
  </si>
  <si>
    <t>Pauses before starting the solve. Useful for inspecting boundary conditions before starting solve.</t>
  </si>
  <si>
    <t>Under-relaxation factor for transient solvers</t>
  </si>
  <si>
    <t>''</t>
  </si>
  <si>
    <t>Saves screenshots between each adjoint iteration if True</t>
  </si>
  <si>
    <t>Uses a transient solver if set to True</t>
  </si>
  <si>
    <t>Solver type for the final solution (adjoint uses pressure-based)</t>
  </si>
  <si>
    <t>Shows the GUI if True</t>
  </si>
  <si>
    <t>Enables energy in the adjoint solver if True</t>
  </si>
  <si>
    <t>Enables turbulence effects in the adjoint solver if True</t>
  </si>
  <si>
    <t>Matches the adjoint flow settings to the flow settings from the solve</t>
  </si>
  <si>
    <t>Applies preconditioning if True</t>
  </si>
  <si>
    <t>Target design change per adjoint iteration</t>
  </si>
  <si>
    <t>If True, target_change is treated as a percentage</t>
  </si>
  <si>
    <t>Observable to optimize</t>
  </si>
  <si>
    <t>Iterations for the final solve</t>
  </si>
  <si>
    <t>Minimum orthagonal quality for infinite mode. Stops when the mesh is below this number</t>
  </si>
  <si>
    <t>Keeps the aerofoil length constant if True. Otherwise, allows adjoint to change length</t>
  </si>
  <si>
    <t>Enables infinite mode if True. Infinite mode overidess optimization_loop_count and runs for an infinite number of adjoint iterations, but stops when mesh quality falls below threshhold</t>
  </si>
  <si>
    <t>Adjoint solver iterations</t>
  </si>
  <si>
    <t>Number of times adjoint will iterate</t>
  </si>
  <si>
    <t>Temporary maximum number of iterations, in effect while adjoint is runnning</t>
  </si>
  <si>
    <t>Temporary pseudo-time step time scale factor, in effect while the adjoint solver is running. If unspecified, evaluates to 0.001</t>
  </si>
  <si>
    <t>Temporary transient time step size, in effect while the adjoint solver is running. If unspecified, evaluates to 0.001</t>
  </si>
  <si>
    <t>Temporary number of transient time steps, in effect while the adjoint solver is running.</t>
  </si>
  <si>
    <t>Temporary number of iterations per time step, in effect while the adjoint solver is running.</t>
  </si>
  <si>
    <t>Closes Fluent after optimization is finished. Set to False if the user wishes to inspect the result before closing</t>
  </si>
  <si>
    <t>Creates animated GIFs for the mesh, Mach contour, and pressure contour screenshots if True</t>
  </si>
  <si>
    <t>Duration of each frame of the GIF</t>
  </si>
  <si>
    <t>If True, changes the boundary conditions and re-solves</t>
  </si>
  <si>
    <t>Altitude above sea level, in metres, for the changed boundary conditions</t>
  </si>
  <si>
    <t>Maximum iterations in infinite mode. Useful if the mesh quality never falls below threshhold</t>
  </si>
  <si>
    <t>Optimization Function</t>
  </si>
  <si>
    <t>Description</t>
  </si>
  <si>
    <r>
      <t>Default model if k-</t>
    </r>
    <r>
      <rPr>
        <sz val="9"/>
        <color theme="1"/>
        <rFont val="Aptos Narrow"/>
        <family val="2"/>
      </rPr>
      <t>ω is used</t>
    </r>
  </si>
  <si>
    <t>custom_mode</t>
  </si>
  <si>
    <t>custom_path</t>
  </si>
  <si>
    <t>final_iterations</t>
  </si>
  <si>
    <t>x</t>
  </si>
  <si>
    <t>y</t>
  </si>
  <si>
    <t>C:/Users/99556/Desktop/Final Results/Main/NACA_0012/coarse_2D/coarse_2D/NACA_0012_2D_coarse_2D.cas.h5</t>
  </si>
  <si>
    <t>NACA 2412</t>
  </si>
  <si>
    <t xml:space="preserve">NACA 0012 </t>
  </si>
  <si>
    <t>NASA SC(2) 0714</t>
  </si>
  <si>
    <t>.\example_files\NACA_0012.scdocx</t>
  </si>
  <si>
    <t>Scdocx Paths</t>
  </si>
  <si>
    <t>./example_files/NACA_0012_final.msh.h5</t>
  </si>
  <si>
    <t>./example_files/act_3D/NACA_0012_act_3D.cas.h5</t>
  </si>
  <si>
    <t>./example_files/ref_3D/NACA_0012_ref_3D.cas.h5</t>
  </si>
  <si>
    <t>.\example_files\NACA_0012_2D.scdocx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</si>
</sst>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#,##0.000"/>
    <numFmt numFmtId="165" formatCode="#,##0.0"/>
    <numFmt numFmtId="167" formatCode="0.000"/>
    <numFmt numFmtId="168" formatCode="#,##0\ &quot;bytes&quot;"/>
    <numFmt numFmtId="169" formatCode="#,##0.00\ &quot;GB&quot;"/>
    <numFmt numFmtId="170" formatCode="#,##0.00\ &quot;GHz&quot;"/>
    <numFmt numFmtId="171" formatCode="#,##0\ &quot;MHz&quot;"/>
  </numFmts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ptos Narrow"/>
      <family val="2"/>
    </font>
  </fonts>
  <fills count="4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theme="6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medium">
        <color theme="1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3" applyNumberFormat="0" applyFill="0" applyAlignment="0" applyProtection="0"/>
    <xf numFmtId="0" fontId="8" fillId="0" borderId="24" applyNumberFormat="0" applyFill="0" applyAlignment="0" applyProtection="0"/>
    <xf numFmtId="0" fontId="9" fillId="0" borderId="25" applyNumberFormat="0" applyFill="0" applyAlignment="0" applyProtection="0"/>
    <xf numFmtId="0" fontId="9" fillId="0" borderId="0" applyNumberFormat="0" applyFill="0" applyBorder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9" borderId="0" applyNumberFormat="0" applyBorder="0" applyAlignment="0" applyProtection="0"/>
    <xf numFmtId="0" fontId="13" fillId="10" borderId="26" applyNumberFormat="0" applyAlignment="0" applyProtection="0"/>
    <xf numFmtId="0" fontId="14" fillId="11" borderId="27" applyNumberFormat="0" applyAlignment="0" applyProtection="0"/>
    <xf numFmtId="0" fontId="15" fillId="11" borderId="26" applyNumberFormat="0" applyAlignment="0" applyProtection="0"/>
    <xf numFmtId="0" fontId="16" fillId="0" borderId="28" applyNumberFormat="0" applyFill="0" applyAlignment="0" applyProtection="0"/>
    <xf numFmtId="0" fontId="1" fillId="12" borderId="29" applyNumberFormat="0" applyAlignment="0" applyProtection="0"/>
    <xf numFmtId="0" fontId="17" fillId="0" borderId="0" applyNumberFormat="0" applyFill="0" applyBorder="0" applyAlignment="0" applyProtection="0"/>
    <xf numFmtId="0" fontId="3" fillId="13" borderId="30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31" applyNumberFormat="0" applyFill="0" applyAlignment="0" applyProtection="0"/>
    <xf numFmtId="0" fontId="5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5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5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5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5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5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3" xfId="0" applyBorder="1"/>
    <xf numFmtId="0" fontId="1" fillId="2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3" borderId="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4" xfId="0" applyBorder="1"/>
    <xf numFmtId="0" fontId="0" fillId="0" borderId="8" xfId="0" applyBorder="1"/>
    <xf numFmtId="0" fontId="1" fillId="3" borderId="5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0" fillId="0" borderId="6" xfId="0" applyBorder="1"/>
    <xf numFmtId="0" fontId="0" fillId="0" borderId="1" xfId="0" quotePrefix="1" applyBorder="1"/>
    <xf numFmtId="2" fontId="0" fillId="0" borderId="0" xfId="0" applyNumberForma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/>
    <xf numFmtId="164" fontId="0" fillId="4" borderId="0" xfId="0" applyNumberForma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4" fontId="0" fillId="0" borderId="18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/>
    </xf>
    <xf numFmtId="2" fontId="0" fillId="5" borderId="0" xfId="0" applyNumberFormat="1" applyFill="1" applyAlignment="1">
      <alignment horizontal="center" vertical="center"/>
    </xf>
    <xf numFmtId="167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2" fontId="2" fillId="5" borderId="0" xfId="0" applyNumberFormat="1" applyFont="1" applyFill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" fontId="0" fillId="0" borderId="21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8" fontId="0" fillId="0" borderId="0" xfId="0" applyNumberFormat="1" applyAlignment="1">
      <alignment horizontal="left" vertical="center" wrapText="1"/>
    </xf>
    <xf numFmtId="169" fontId="0" fillId="0" borderId="0" xfId="0" applyNumberFormat="1" applyAlignment="1">
      <alignment horizontal="left" vertical="center" wrapText="1"/>
    </xf>
    <xf numFmtId="22" fontId="0" fillId="0" borderId="0" xfId="0" applyNumberFormat="1" applyAlignment="1">
      <alignment horizontal="left" vertical="center" wrapText="1"/>
    </xf>
    <xf numFmtId="170" fontId="0" fillId="0" borderId="0" xfId="0" applyNumberFormat="1" applyAlignment="1">
      <alignment horizontal="left" vertical="center" wrapText="1"/>
    </xf>
    <xf numFmtId="171" fontId="0" fillId="0" borderId="0" xfId="0" applyNumberFormat="1" applyAlignment="1">
      <alignment horizontal="left" vertical="center" wrapText="1"/>
    </xf>
    <xf numFmtId="165" fontId="0" fillId="0" borderId="2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0" fillId="0" borderId="0" xfId="0" quotePrefix="1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/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wrapText="1"/>
    </xf>
    <xf numFmtId="0" fontId="0" fillId="38" borderId="0" xfId="0" applyFill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33" xfId="0" applyBorder="1" applyAlignment="1">
      <alignment horizontal="center"/>
    </xf>
    <xf numFmtId="0" fontId="1" fillId="39" borderId="34" xfId="0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2" fillId="0" borderId="0" xfId="0" applyFont="1"/>
    <xf numFmtId="0" fontId="19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8">
    <dxf>
      <alignment horizontal="center" vertical="bottom" textRotation="0" wrapText="0" indent="0" justifyLastLine="0" shrinkToFit="0" readingOrder="0"/>
      <border diagonalUp="0" diagonalDown="0">
        <left/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5" tint="0.39997558519241921"/>
        </left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9"/>
        </right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  <i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numFmt numFmtId="164" formatCode="#,##0.0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5" formatCode="0.00E+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5" formatCode="0.00E+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0" tint="-0.24994659260841701"/>
        </top>
      </border>
    </dxf>
    <dxf>
      <border outline="0"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6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outline="0">
        <top style="thin">
          <color theme="0" tint="-0.24994659260841701"/>
        </top>
      </border>
    </dxf>
    <dxf>
      <border outline="0"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</font>
      <alignment horizontal="center" vertical="center"/>
    </dxf>
    <dxf>
      <fill>
        <patternFill>
          <bgColor auto="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border>
        <top style="double">
          <color theme="1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  <horizontal style="thin">
          <color theme="0" tint="-0.24994659260841701"/>
        </horizontal>
      </border>
    </dxf>
  </dxfs>
  <tableStyles count="1" defaultTableStyle="TableStyleMedium2" defaultPivotStyle="PivotStyleLight16">
    <tableStyle name="custom_style_project" pivot="0" count="7" xr9:uid="{3749841E-244C-4349-A2A0-6855C0563B75}">
      <tableStyleElement type="wholeTable" dxfId="227"/>
      <tableStyleElement type="headerRow" dxfId="226"/>
      <tableStyleElement type="totalRow" dxfId="225"/>
      <tableStyleElement type="firstColumn" dxfId="224"/>
      <tableStyleElement type="lastColumn" dxfId="223"/>
      <tableStyleElement type="firstRowStripe" dxfId="222"/>
      <tableStyleElement type="firstColumnStripe" dxfId="2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tuo365-my.sharepoint.com/personal/c00290924_setu_ie/Documents/Year%204/4th%20Year%20Project/Project_File.xlsx" TargetMode="External"/><Relationship Id="rId1" Type="http://schemas.openxmlformats.org/officeDocument/2006/relationships/externalLinkPath" Target="https://setuo365-my.sharepoint.com/personal/c00290924_setu_ie/Documents/Year%204/4th%20Year%20Project/Project_Fi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sks To Include"/>
      <sheetName val="Aims &amp; Objectives"/>
      <sheetName val="Deliverables"/>
      <sheetName val="Airfoil_Info"/>
      <sheetName val="Sources"/>
      <sheetName val="NACA_2412"/>
      <sheetName val="BACXXX"/>
      <sheetName val="NASA_SC(2)_0714"/>
      <sheetName val="Pressure Plotting"/>
      <sheetName val="Calculations"/>
      <sheetName val="Gant Chart"/>
      <sheetName val="SETUP"/>
      <sheetName val="Automated Detailed To Do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288.14999999999998</v>
          </cell>
        </row>
        <row r="3">
          <cell r="B3">
            <v>6.4999999999999997E-3</v>
          </cell>
        </row>
        <row r="7">
          <cell r="B7">
            <v>1.4</v>
          </cell>
        </row>
        <row r="8">
          <cell r="B8">
            <v>287</v>
          </cell>
        </row>
        <row r="13">
          <cell r="B13">
            <v>101325</v>
          </cell>
        </row>
        <row r="14">
          <cell r="B14">
            <v>9.8066499999999994</v>
          </cell>
        </row>
        <row r="15">
          <cell r="B15">
            <v>1.2250000000000001</v>
          </cell>
        </row>
        <row r="20">
          <cell r="B20">
            <v>1.789E-5</v>
          </cell>
        </row>
        <row r="21">
          <cell r="B21">
            <v>110.4</v>
          </cell>
        </row>
      </sheetData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sks To Include"/>
      <sheetName val="Aims &amp; Objectives"/>
      <sheetName val="Deliverables"/>
      <sheetName val="Airfoil_Info"/>
      <sheetName val="Results"/>
      <sheetName val="Step By Step Solution"/>
      <sheetName val="Sources"/>
      <sheetName val="NACA_2412"/>
      <sheetName val="BACXXX"/>
      <sheetName val="NASA_SC(2)_0714"/>
      <sheetName val="To Do List"/>
      <sheetName val="Pressure Plotting"/>
      <sheetName val="Calculations"/>
      <sheetName val="Gant Chart"/>
      <sheetName val="SETUP"/>
      <sheetName val="Automated Detailed To Do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B13">
            <v>101325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(Student  C00290924) Dachi Dzeria" id="{78CE6BFC-4F0C-42A4-8428-5873BFB72FB3}" userId="S::C00290924@setu.ie::d9cf6cb5-31b2-4092-8c35-5f49078da41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shing_table" displayName="meshing_table" ref="A1:AM2" totalsRowShown="0" headerRowDxfId="220" dataDxfId="115">
  <autoFilter ref="A1:AM2" xr:uid="{00000000-0009-0000-0100-000001000000}"/>
  <tableColumns count="39">
    <tableColumn id="27" xr3:uid="{00000000-0010-0000-0000-00001B000000}" name="airfoil" dataDxfId="154"/>
    <tableColumn id="35" xr3:uid="{00000000-0010-0000-0000-000023000000}" name="nickname" dataDxfId="153"/>
    <tableColumn id="1" xr3:uid="{00000000-0010-0000-0000-000001000000}" name="file_path" dataDxfId="152"/>
    <tableColumn id="2" xr3:uid="{00000000-0010-0000-0000-000002000000}" name="show_gui" dataDxfId="151"/>
    <tableColumn id="34" xr3:uid="{00000000-0010-0000-0000-000022000000}" name="shut_down_when_done" dataDxfId="150"/>
    <tableColumn id="3" xr3:uid="{00000000-0010-0000-0000-000003000000}" name="processor_count" dataDxfId="149"/>
    <tableColumn id="4" xr3:uid="{00000000-0010-0000-0000-000004000000}" name="precision" dataDxfId="148"/>
    <tableColumn id="5" xr3:uid="{00000000-0010-0000-0000-000005000000}" name="chord_len" dataDxfId="147"/>
    <tableColumn id="6" xr3:uid="{00000000-0010-0000-0000-000006000000}" name="te_len" dataDxfId="146"/>
    <tableColumn id="39" xr3:uid="{00000000-0010-0000-0000-000027000000}" name="has_te" dataDxfId="145"/>
    <tableColumn id="7" xr3:uid="{00000000-0010-0000-0000-000007000000}" name="upper_name" dataDxfId="144"/>
    <tableColumn id="8" xr3:uid="{00000000-0010-0000-0000-000008000000}" name="lower_name" dataDxfId="143"/>
    <tableColumn id="9" xr3:uid="{00000000-0010-0000-0000-000009000000}" name="te_name" dataDxfId="142"/>
    <tableColumn id="10" xr3:uid="{00000000-0010-0000-0000-00000A000000}" name="farfield_name" dataDxfId="141"/>
    <tableColumn id="11" xr3:uid="{00000000-0010-0000-0000-00000B000000}" name="symmetry_1_name" dataDxfId="140"/>
    <tableColumn id="12" xr3:uid="{00000000-0010-0000-0000-00000C000000}" name="symmetry_2_name" dataDxfId="139"/>
    <tableColumn id="13" xr3:uid="{00000000-0010-0000-0000-00000D000000}" name="Boi_1" dataDxfId="138"/>
    <tableColumn id="14" xr3:uid="{00000000-0010-0000-0000-00000E000000}" name="Boi_1_Control_Name" dataDxfId="137"/>
    <tableColumn id="15" xr3:uid="{00000000-0010-0000-0000-00000F000000}" name="Boi_1_Execution" dataDxfId="136"/>
    <tableColumn id="16" xr3:uid="{00000000-0010-0000-0000-000010000000}" name="Boi_1_Size" dataDxfId="135"/>
    <tableColumn id="17" xr3:uid="{00000000-0010-0000-0000-000011000000}" name="Boi_2" dataDxfId="134"/>
    <tableColumn id="18" xr3:uid="{00000000-0010-0000-0000-000012000000}" name="Boi_2_Control_Name" dataDxfId="133"/>
    <tableColumn id="19" xr3:uid="{00000000-0010-0000-0000-000013000000}" name="Boi_2_Execution" dataDxfId="132"/>
    <tableColumn id="20" xr3:uid="{00000000-0010-0000-0000-000014000000}" name="Boi_2_Min_Size" dataDxfId="131"/>
    <tableColumn id="21" xr3:uid="{00000000-0010-0000-0000-000015000000}" name="Boi_2_Cells_Per_Gap" dataDxfId="130"/>
    <tableColumn id="22" xr3:uid="{00000000-0010-0000-0000-000016000000}" name="Boi_2_Scope_To" dataDxfId="129"/>
    <tableColumn id="23" xr3:uid="{00000000-0010-0000-0000-000017000000}" name="Surface_Min_Size" dataDxfId="128">
      <calculatedColumnFormula>meshing_table[[#This Row],[Bl_First_Height]]*20</calculatedColumnFormula>
    </tableColumn>
    <tableColumn id="36" xr3:uid="{00000000-0010-0000-0000-000024000000}" name="Surface_Rate" dataDxfId="127"/>
    <tableColumn id="24" xr3:uid="{00000000-0010-0000-0000-000018000000}" name="Surface_Max_Size" dataDxfId="126"/>
    <tableColumn id="25" xr3:uid="{00000000-0010-0000-0000-000019000000}" name="Surface_Size_Function" dataDxfId="125"/>
    <tableColumn id="26" xr3:uid="{00000000-0010-0000-0000-00001A000000}" name="Surface_Curvature_Normal_Angle" dataDxfId="124"/>
    <tableColumn id="28" xr3:uid="{00000000-0010-0000-0000-00001C000000}" name="Bl_Control_Name" dataDxfId="123"/>
    <tableColumn id="29" xr3:uid="{00000000-0010-0000-0000-00001D000000}" name="Bl_Number_Of_Layers" dataDxfId="122"/>
    <tableColumn id="37" xr3:uid="{00000000-0010-0000-0000-000025000000}" name="Bl_First_Height" dataDxfId="121">
      <calculatedColumnFormula>4*10^-6</calculatedColumnFormula>
    </tableColumn>
    <tableColumn id="30" xr3:uid="{00000000-0010-0000-0000-00001E000000}" name="Bl_Rate" dataDxfId="120"/>
    <tableColumn id="31" xr3:uid="{00000000-0010-0000-0000-00001F000000}" name="Volume_Fill_Type" dataDxfId="119"/>
    <tableColumn id="32" xr3:uid="{00000000-0010-0000-0000-000020000000}" name="Volume_Fill_Size" dataDxfId="118"/>
    <tableColumn id="38" xr3:uid="{00000000-0010-0000-0000-000026000000}" name="Volume_Fill_Rate" dataDxfId="117"/>
    <tableColumn id="33" xr3:uid="{00000000-0010-0000-0000-000021000000}" name="Units" dataDxfId="1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lution_table" displayName="solution_table" ref="A1:BJ2" headerRowDxfId="114" dataDxfId="50" totalsRowDxfId="113">
  <autoFilter ref="A1:BJ2" xr:uid="{00000000-0009-0000-0100-000002000000}"/>
  <tableColumns count="62">
    <tableColumn id="37" xr3:uid="{00000000-0010-0000-0100-000025000000}" name="airfoil" dataDxfId="112"/>
    <tableColumn id="2" xr3:uid="{00000000-0010-0000-0100-000002000000}" name="nickname" dataDxfId="111"/>
    <tableColumn id="1" xr3:uid="{00000000-0010-0000-0100-000001000000}" name="file_path" dataDxfId="110"/>
    <tableColumn id="3" xr3:uid="{00000000-0010-0000-0100-000003000000}" name="show_gui" dataDxfId="109"/>
    <tableColumn id="4" xr3:uid="{00000000-0010-0000-0100-000004000000}" name="shut_down_when_done" dataDxfId="108"/>
    <tableColumn id="61" xr3:uid="{00000000-0010-0000-0100-00003D000000}" name="pause_before_solve" dataDxfId="107"/>
    <tableColumn id="7" xr3:uid="{00000000-0010-0000-0100-000007000000}" name="altitude" dataDxfId="106"/>
    <tableColumn id="9" xr3:uid="{00000000-0010-0000-0100-000009000000}" name="aoa" dataDxfId="105"/>
    <tableColumn id="10" xr3:uid="{00000000-0010-0000-0100-00000A000000}" name="chord_len" dataDxfId="104"/>
    <tableColumn id="8" xr3:uid="{00000000-0010-0000-0100-000008000000}" name="mach_num" dataDxfId="103"/>
    <tableColumn id="11" xr3:uid="{00000000-0010-0000-0100-00000B000000}" name="mesh_width" dataDxfId="102"/>
    <tableColumn id="40" xr3:uid="{00000000-0010-0000-0100-000028000000}" name="processor_count" dataDxfId="101"/>
    <tableColumn id="39" xr3:uid="{00000000-0010-0000-0100-000027000000}" name="precision" dataDxfId="100"/>
    <tableColumn id="13" xr3:uid="{00000000-0010-0000-0100-00000D000000}" name="iterations" dataDxfId="99"/>
    <tableColumn id="54" xr3:uid="{00000000-0010-0000-0100-000036000000}" name="transient" dataDxfId="98"/>
    <tableColumn id="58" xr3:uid="{00000000-0010-0000-0100-00003A000000}" name="time_step_count" dataDxfId="97"/>
    <tableColumn id="57" xr3:uid="{00000000-0010-0000-0100-000039000000}" name="time_step_size" dataDxfId="96"/>
    <tableColumn id="56" xr3:uid="{00000000-0010-0000-0100-000038000000}" name="iters_per_time_step" dataDxfId="95"/>
    <tableColumn id="51" xr3:uid="{00000000-0010-0000-0100-000033000000}" name="solver_type" dataDxfId="94"/>
    <tableColumn id="60" xr3:uid="{00000000-0010-0000-0100-00003C000000}" name="hybrid_initialize" dataDxfId="93"/>
    <tableColumn id="43" xr3:uid="{00000000-0010-0000-0100-00002B000000}" name="use_report_convergence" dataDxfId="92"/>
    <tableColumn id="41" xr3:uid="{00000000-0010-0000-0100-000029000000}" name="report_convergence" dataDxfId="91"/>
    <tableColumn id="42" xr3:uid="{00000000-0010-0000-0100-00002A000000}" name="use_convergence_criteria" dataDxfId="90"/>
    <tableColumn id="12" xr3:uid="{00000000-0010-0000-0100-00000C000000}" name="convergence_criteria" dataDxfId="89"/>
    <tableColumn id="33" xr3:uid="{00000000-0010-0000-0100-000021000000}" name="pseudo_time_method" dataDxfId="88"/>
    <tableColumn id="14" xr3:uid="{00000000-0010-0000-0100-00000E000000}" name="time_step_scale" dataDxfId="87"/>
    <tableColumn id="15" xr3:uid="{00000000-0010-0000-0100-00000F000000}" name="report_1_name" dataDxfId="86"/>
    <tableColumn id="16" xr3:uid="{00000000-0010-0000-0100-000010000000}" name="report_2_name" dataDxfId="85"/>
    <tableColumn id="17" xr3:uid="{00000000-0010-0000-0100-000011000000}" name="operating_pres" dataDxfId="84"/>
    <tableColumn id="36" xr3:uid="{00000000-0010-0000-0100-000024000000}" name="visc_method" dataDxfId="83"/>
    <tableColumn id="18" xr3:uid="{00000000-0010-0000-0100-000012000000}" name="visc_model" dataDxfId="82"/>
    <tableColumn id="52" xr3:uid="{00000000-0010-0000-0100-000034000000}" name="k_omega_model" dataDxfId="81"/>
    <tableColumn id="19" xr3:uid="{00000000-0010-0000-0100-000013000000}" name="farfield_name" dataDxfId="80"/>
    <tableColumn id="20" xr3:uid="{00000000-0010-0000-0100-000014000000}" name="upper_name" dataDxfId="79"/>
    <tableColumn id="21" xr3:uid="{00000000-0010-0000-0100-000015000000}" name="lower_name" dataDxfId="78"/>
    <tableColumn id="45" xr3:uid="{00000000-0010-0000-0100-00002D000000}" name="symmetry_1_name" dataDxfId="77"/>
    <tableColumn id="53" xr3:uid="{00000000-0010-0000-0100-000035000000}" name="surface_name" dataDxfId="76"/>
    <tableColumn id="22" xr3:uid="{00000000-0010-0000-0100-000016000000}" name="specification_method" dataDxfId="75"/>
    <tableColumn id="23" xr3:uid="{00000000-0010-0000-0100-000017000000}" name="turb_int" dataDxfId="74"/>
    <tableColumn id="24" xr3:uid="{00000000-0010-0000-0100-000018000000}" name="turb_visc_ratio" dataDxfId="73"/>
    <tableColumn id="25" xr3:uid="{00000000-0010-0000-0100-000019000000}" name="flow_scheme" dataDxfId="72"/>
    <tableColumn id="26" xr3:uid="{00000000-0010-0000-0100-00001A000000}" name="gradient_scheme" dataDxfId="71"/>
    <tableColumn id="27" xr3:uid="{00000000-0010-0000-0100-00001B000000}" name="density_scheme" dataDxfId="70"/>
    <tableColumn id="28" xr3:uid="{00000000-0010-0000-0100-00001C000000}" name="turb_kin_e_scheme" dataDxfId="69"/>
    <tableColumn id="29" xr3:uid="{00000000-0010-0000-0100-00001D000000}" name="mom_scheme" dataDxfId="68"/>
    <tableColumn id="30" xr3:uid="{00000000-0010-0000-0100-00001E000000}" name="pres_scheme" dataDxfId="67"/>
    <tableColumn id="31" xr3:uid="{00000000-0010-0000-0100-00001F000000}" name="energy_scheme" dataDxfId="66"/>
    <tableColumn id="32" xr3:uid="{00000000-0010-0000-0100-000020000000}" name="spec_diss_rate_scheme" dataDxfId="65"/>
    <tableColumn id="38" xr3:uid="{00000000-0010-0000-0100-000026000000}" name="mod_turb_visc" dataDxfId="64"/>
    <tableColumn id="59" xr3:uid="{00000000-0010-0000-0100-00003B000000}" name="compressibility_effects" dataDxfId="63"/>
    <tableColumn id="55" xr3:uid="{00000000-0010-0000-0100-000037000000}" name="curvature_correction" dataDxfId="62"/>
    <tableColumn id="34" xr3:uid="{00000000-0010-0000-0100-000022000000}" name="high_order_term_relax" dataDxfId="61"/>
    <tableColumn id="5" xr3:uid="{00000000-0010-0000-0100-000005000000}" name="relaxation_factor" dataDxfId="60"/>
    <tableColumn id="62" xr3:uid="{00000000-0010-0000-0100-00003E000000}" name="under_relaxation" dataDxfId="59"/>
    <tableColumn id="6" xr3:uid="{00000000-0010-0000-0100-000006000000}" name="courant_number" dataDxfId="58"/>
    <tableColumn id="35" xr3:uid="{00000000-0010-0000-0100-000023000000}" name="warped_face_gradient" dataDxfId="57"/>
    <tableColumn id="44" xr3:uid="{00000000-0010-0000-0100-00002C000000}" name="generate_mach_cont" dataDxfId="56"/>
    <tableColumn id="48" xr3:uid="{00000000-0010-0000-0100-000030000000}" name="generate_pres_cont" dataDxfId="55"/>
    <tableColumn id="49" xr3:uid="{00000000-0010-0000-0100-000031000000}" name="generate_yplus" dataDxfId="54"/>
    <tableColumn id="50" xr3:uid="{00000000-0010-0000-0100-000032000000}" name="generate_pres_plot" dataDxfId="53"/>
    <tableColumn id="46" xr3:uid="{00000000-0010-0000-0100-00002E000000}" name="contour_lines" dataDxfId="52"/>
    <tableColumn id="47" xr3:uid="{00000000-0010-0000-0100-00002F000000}" name="smooth_or_banded" dataDxfId="51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djoint_table" displayName="adjoint_table" ref="A1:AX2" totalsRowShown="0" headerRowDxfId="219">
  <autoFilter ref="A1:AX2" xr:uid="{00000000-0009-0000-0100-000003000000}"/>
  <tableColumns count="50">
    <tableColumn id="3" xr3:uid="{00000000-0010-0000-0200-000003000000}" name="airfoil" dataDxfId="49">
      <calculatedColumnFormula>_xlfn.TEXTAFTER(_xlfn.TEXTBEFORE(C2, "/",-3), "/",-1)</calculatedColumnFormula>
    </tableColumn>
    <tableColumn id="2" xr3:uid="{00000000-0010-0000-0200-000002000000}" name="nickname" dataDxfId="48"/>
    <tableColumn id="1" xr3:uid="{00000000-0010-0000-0200-000001000000}" name="file_path" dataDxfId="47"/>
    <tableColumn id="10" xr3:uid="{00000000-0010-0000-0200-00000A000000}" name="show_gui" dataDxfId="46"/>
    <tableColumn id="31" xr3:uid="{00000000-0010-0000-0200-00001F000000}" name="shut_down_when_done" dataDxfId="45"/>
    <tableColumn id="36" xr3:uid="{00000000-0010-0000-0200-000024000000}" name="infinite_mode" dataDxfId="44"/>
    <tableColumn id="40" xr3:uid="{00000000-0010-0000-0200-000028000000}" name="maintain_len" dataDxfId="43"/>
    <tableColumn id="33" xr3:uid="{00000000-0010-0000-0200-000021000000}" name="change_boundary_conditions" dataDxfId="42"/>
    <tableColumn id="17" xr3:uid="{00000000-0010-0000-0200-000011000000}" name="altitude" dataDxfId="41"/>
    <tableColumn id="14" xr3:uid="{00000000-0010-0000-0200-00000E000000}" name="aoa" dataDxfId="40"/>
    <tableColumn id="20" xr3:uid="{00000000-0010-0000-0200-000014000000}" name="mach_num" dataDxfId="39"/>
    <tableColumn id="32" xr3:uid="{00000000-0010-0000-0200-000020000000}" name="mesh_width" dataDxfId="38"/>
    <tableColumn id="11" xr3:uid="{00000000-0010-0000-0200-00000B000000}" name="processor_count" dataDxfId="37"/>
    <tableColumn id="8" xr3:uid="{00000000-0010-0000-0200-000008000000}" name="save_screenshots" dataDxfId="36"/>
    <tableColumn id="45" xr3:uid="{00000000-0010-0000-0200-00002D000000}" name="optimize_target" dataDxfId="35"/>
    <tableColumn id="18" xr3:uid="{00000000-0010-0000-0200-000012000000}" name="target_change" dataDxfId="34"/>
    <tableColumn id="49" xr3:uid="{F0C18568-E2B2-46C7-A3B5-86403B274F8F}" name="custom_mode" dataDxfId="33"/>
    <tableColumn id="50" xr3:uid="{C742D2E0-15B5-479A-A076-0007B04CAAED}" name="custom_path" dataDxfId="32"/>
    <tableColumn id="47" xr3:uid="{00000000-0010-0000-0200-00002F000000}" name="use_percentage" dataDxfId="31"/>
    <tableColumn id="25" xr3:uid="{00000000-0010-0000-0200-000019000000}" name="final_iterations" dataDxfId="30"/>
    <tableColumn id="5" xr3:uid="{00000000-0010-0000-0200-000005000000}" name="temp_iterations" dataDxfId="29"/>
    <tableColumn id="23" xr3:uid="{00000000-0010-0000-0200-000017000000}" name="adjoint_iterations" dataDxfId="28"/>
    <tableColumn id="19" xr3:uid="{00000000-0010-0000-0200-000013000000}" name="optimization_loop_count" dataDxfId="27"/>
    <tableColumn id="9" xr3:uid="{00000000-0010-0000-0200-000009000000}" name="transient" dataDxfId="26"/>
    <tableColumn id="44" xr3:uid="{00000000-0010-0000-0200-00002C000000}" name="use_energy" dataDxfId="25"/>
    <tableColumn id="43" xr3:uid="{00000000-0010-0000-0200-00002B000000}" name="use_turbulence" dataDxfId="24"/>
    <tableColumn id="42" xr3:uid="{00000000-0010-0000-0200-00002A000000}" name="use_best_match" dataDxfId="23"/>
    <tableColumn id="41" xr3:uid="{00000000-0010-0000-0200-000029000000}" name="apply_preconditioning" dataDxfId="22"/>
    <tableColumn id="38" xr3:uid="{00000000-0010-0000-0200-000026000000}" name="solver_type" dataDxfId="21"/>
    <tableColumn id="39" xr3:uid="{00000000-0010-0000-0200-000027000000}" name="visc_model" dataDxfId="20"/>
    <tableColumn id="48" xr3:uid="{BDF92B17-027D-4EE9-A592-DD353F6FB0A8}" name="pseudo_time_method" dataDxfId="19"/>
    <tableColumn id="21" xr3:uid="{00000000-0010-0000-0200-000015000000}" name="time_step_count" dataDxfId="18"/>
    <tableColumn id="26" xr3:uid="{00000000-0010-0000-0200-00001A000000}" name="time_step_size" dataDxfId="17"/>
    <tableColumn id="22" xr3:uid="{00000000-0010-0000-0200-000016000000}" name="iters_per_time_step" dataDxfId="16"/>
    <tableColumn id="34" xr3:uid="{00000000-0010-0000-0200-000022000000}" name="time_step_scale" dataDxfId="15"/>
    <tableColumn id="29" xr3:uid="{00000000-0010-0000-0200-00001D000000}" name="temp_time_step_count" dataDxfId="14"/>
    <tableColumn id="28" xr3:uid="{00000000-0010-0000-0200-00001C000000}" name="temp_time_step_size" dataDxfId="13"/>
    <tableColumn id="30" xr3:uid="{00000000-0010-0000-0200-00001E000000}" name="temp_iters_per_time_step" dataDxfId="12"/>
    <tableColumn id="27" xr3:uid="{00000000-0010-0000-0200-00001B000000}" name="temp_time_step_scale" dataDxfId="11"/>
    <tableColumn id="6" xr3:uid="{00000000-0010-0000-0200-000006000000}" name="contour_lines" dataDxfId="10"/>
    <tableColumn id="7" xr3:uid="{00000000-0010-0000-0200-000007000000}" name="smooth_or_banded" dataDxfId="9"/>
    <tableColumn id="12" xr3:uid="{00000000-0010-0000-0200-00000C000000}" name="upper_name" dataDxfId="8"/>
    <tableColumn id="13" xr3:uid="{00000000-0010-0000-0200-00000D000000}" name="lower_name" dataDxfId="7"/>
    <tableColumn id="4" xr3:uid="{00000000-0010-0000-0200-000004000000}" name="farfield_name" dataDxfId="6"/>
    <tableColumn id="37" xr3:uid="{00000000-0010-0000-0200-000025000000}" name="min_orth_quality_limit" dataDxfId="5"/>
    <tableColumn id="16" xr3:uid="{00000000-0010-0000-0200-000010000000}" name="use_convergence_criteria" dataDxfId="4"/>
    <tableColumn id="15" xr3:uid="{00000000-0010-0000-0200-00000F000000}" name="convergence_criteria" dataDxfId="3"/>
    <tableColumn id="46" xr3:uid="{00000000-0010-0000-0200-00002E000000}" name="infinite_mode_max" dataDxfId="2"/>
    <tableColumn id="24" xr3:uid="{00000000-0010-0000-0200-000018000000}" name="make_gifs" dataDxfId="1"/>
    <tableColumn id="35" xr3:uid="{00000000-0010-0000-0200-000023000000}" name="gif_duration" dataDxfId="0"/>
  </tableColumns>
  <tableStyleInfo name="TableStyleMedium3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171C3E4-C25A-4DF9-A430-1B4962DF2C43}" name="Table10" displayName="Table10" ref="A2:D39" totalsRowShown="0" headerRowDxfId="218" dataDxfId="217">
  <autoFilter ref="A2:D39" xr:uid="{7171C3E4-C25A-4DF9-A430-1B4962DF2C43}">
    <filterColumn colId="0" hiddenButton="1"/>
    <filterColumn colId="1" hiddenButton="1"/>
    <filterColumn colId="2" hiddenButton="1"/>
    <filterColumn colId="3" hiddenButton="1"/>
  </autoFilter>
  <tableColumns count="4">
    <tableColumn id="1" xr3:uid="{C21DBCD4-1520-4E90-8A35-9D30407B5C1F}" name="Parameter" dataDxfId="216"/>
    <tableColumn id="2" xr3:uid="{6F15AEF7-8C67-4743-8D84-597D870DBC0B}" name="Default Value" dataDxfId="215"/>
    <tableColumn id="3" xr3:uid="{D11483CC-2847-4754-B7E5-7A5F95E347BF}" name="Type" dataDxfId="214"/>
    <tableColumn id="4" xr3:uid="{7BCBA8E9-C44A-4F0C-89C0-2A669630C868}" name="Description" dataDxfId="213"/>
  </tableColumns>
  <tableStyleInfo name="custom_style_project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2F50237-8CD3-4222-823D-1520C7425107}" name="Table15" displayName="Table15" ref="A42:D107" totalsRowShown="0" headerRowDxfId="212" dataDxfId="211">
  <autoFilter ref="A42:D107" xr:uid="{62F50237-8CD3-4222-823D-1520C7425107}">
    <filterColumn colId="0" hiddenButton="1"/>
    <filterColumn colId="1" hiddenButton="1"/>
    <filterColumn colId="2" hiddenButton="1"/>
    <filterColumn colId="3" hiddenButton="1"/>
  </autoFilter>
  <tableColumns count="4">
    <tableColumn id="1" xr3:uid="{9A4BB78E-566E-4901-8DB2-F85DFB3A002F}" name="Parameter" dataDxfId="210"/>
    <tableColumn id="2" xr3:uid="{F2208417-86C5-4C50-BC86-8C8AB8B70EC0}" name="Default Value" dataDxfId="209"/>
    <tableColumn id="3" xr3:uid="{2559AB05-5CD0-4A26-8C89-5B08A0173A9B}" name="Type" dataDxfId="208"/>
    <tableColumn id="4" xr3:uid="{2E342C2D-D13F-4F99-83F2-8D2DAD2857B3}" name="Notes" dataDxfId="207"/>
  </tableColumns>
  <tableStyleInfo name="custom_style_project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B73AB7C-2DEB-439C-82B8-560BC90FD2BE}" name="Table16" displayName="Table16" ref="A110:D163" totalsRowShown="0" headerRowDxfId="206" dataDxfId="205">
  <autoFilter ref="A110:D163" xr:uid="{BB73AB7C-2DEB-439C-82B8-560BC90FD2BE}">
    <filterColumn colId="0" hiddenButton="1"/>
    <filterColumn colId="1" hiddenButton="1"/>
    <filterColumn colId="2" hiddenButton="1"/>
    <filterColumn colId="3" hiddenButton="1"/>
  </autoFilter>
  <tableColumns count="4">
    <tableColumn id="1" xr3:uid="{A9652A1A-ACD8-4869-B0BE-169FE08835EA}" name="Parameter" dataDxfId="204"/>
    <tableColumn id="2" xr3:uid="{B8959DE4-2F23-44EF-854B-3D22BF2E7040}" name="Default Value" dataDxfId="203"/>
    <tableColumn id="3" xr3:uid="{A9CAF8D7-1334-431F-9E69-07B79F70B2CA}" name="Type" dataDxfId="202"/>
    <tableColumn id="4" xr3:uid="{3ECB5948-726F-4AD4-9F25-E9830205CEBD}" name="Notes" dataDxfId="201"/>
  </tableColumns>
  <tableStyleInfo name="custom_style_project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DA422F-9D34-4D3D-83E6-1F88B2FF6F42}" name="Table6" displayName="Table6" ref="A1:B39" totalsRowShown="0" headerRowDxfId="200" dataDxfId="199">
  <autoFilter ref="A1:B39" xr:uid="{93DA422F-9D34-4D3D-83E6-1F88B2FF6F42}">
    <filterColumn colId="0" hiddenButton="1"/>
    <filterColumn colId="1" hiddenButton="1"/>
  </autoFilter>
  <tableColumns count="2">
    <tableColumn id="1" xr3:uid="{9C23BCAC-87B8-4288-82D1-ECD934ABED1D}" name="Component" dataDxfId="198"/>
    <tableColumn id="2" xr3:uid="{EAE9C732-65B8-4312-9E5B-791757DCB419}" name="Specification" dataDxfId="197"/>
  </tableColumns>
  <tableStyleInfo name="TableStyleMedium4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FF9AB08-4135-4C65-BAF7-28F4D2D9F840}" name="NASA_SC_2__0714" displayName="NASA_SC_2__0714" ref="A2:B71" totalsRowShown="0" headerRowDxfId="196" dataDxfId="195">
  <autoFilter ref="A2:B71" xr:uid="{6FF9AB08-4135-4C65-BAF7-28F4D2D9F840}">
    <filterColumn colId="0" hiddenButton="1"/>
    <filterColumn colId="1" hiddenButton="1"/>
  </autoFilter>
  <tableColumns count="2">
    <tableColumn id="1" xr3:uid="{DA3D13DD-F3B9-4D29-91BE-78F310DE6122}" name="x" dataDxfId="194"/>
    <tableColumn id="2" xr3:uid="{A740DDCB-89C9-4E92-B6D5-360540D045DD}" name="y" dataDxfId="193"/>
  </tableColumns>
  <tableStyleInfo name="custom_style_project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156D6749-15D9-4D2C-9440-A3BD761E2F76}" name="Table36" displayName="Table36" ref="D2:E71" totalsRowShown="0" headerRowDxfId="192" dataDxfId="191">
  <autoFilter ref="D2:E71" xr:uid="{156D6749-15D9-4D2C-9440-A3BD761E2F76}">
    <filterColumn colId="0" hiddenButton="1"/>
    <filterColumn colId="1" hiddenButton="1"/>
  </autoFilter>
  <tableColumns count="2">
    <tableColumn id="1" xr3:uid="{B0733F1A-387A-4D81-8356-D8B243B70C09}" name="x" dataDxfId="190"/>
    <tableColumn id="2" xr3:uid="{D1E2CE72-8F94-4D77-A0F3-D7298CABB141}" name="y" dataDxfId="189"/>
  </tableColumns>
  <tableStyleInfo name="custom_style_project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C5C59EEB-5EEF-43FD-86B9-2C4E8BE24697}" name="Table37" displayName="Table37" ref="G2:H69" totalsRowShown="0" headerRowDxfId="188" dataDxfId="187">
  <autoFilter ref="G2:H69" xr:uid="{C5C59EEB-5EEF-43FD-86B9-2C4E8BE24697}">
    <filterColumn colId="0" hiddenButton="1"/>
    <filterColumn colId="1" hiddenButton="1"/>
  </autoFilter>
  <tableColumns count="2">
    <tableColumn id="1" xr3:uid="{AFE8C7AF-9984-4561-9339-32B86D5C3496}" name="x" dataDxfId="186"/>
    <tableColumn id="2" xr3:uid="{FD1FE0E7-6053-4A7D-AF46-FE20D313BC37}" name="y" dataDxfId="185"/>
  </tableColumns>
  <tableStyleInfo name="custom_style_project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512749A-878C-41C4-9953-25B6802F69CA}" name="NACA_2412__2" displayName="NACA_2412__2" ref="A2:B43" totalsRowShown="0" headerRowDxfId="184" dataDxfId="183">
  <autoFilter ref="A2:B43" xr:uid="{4512749A-878C-41C4-9953-25B6802F69CA}">
    <filterColumn colId="0" hiddenButton="1"/>
    <filterColumn colId="1" hiddenButton="1"/>
  </autoFilter>
  <tableColumns count="2">
    <tableColumn id="1" xr3:uid="{AD671CBE-3089-4A6A-A1BD-D79D71432607}" name="x" dataDxfId="182"/>
    <tableColumn id="2" xr3:uid="{A0A996E5-7255-4E4E-AF8A-C69E3A3F4463}" name="y" dataDxfId="181"/>
  </tableColumns>
  <tableStyleInfo name="custom_style_project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EE4EEE3-5181-4818-905A-1FFF41D16546}" name="Table33" displayName="Table33" ref="D2:E42" totalsRowShown="0" headerRowDxfId="180" dataDxfId="178" headerRowBorderDxfId="179" tableBorderDxfId="177" totalsRowBorderDxfId="176">
  <autoFilter ref="D2:E42" xr:uid="{7EE4EEE3-5181-4818-905A-1FFF41D16546}">
    <filterColumn colId="0" hiddenButton="1"/>
    <filterColumn colId="1" hiddenButton="1"/>
  </autoFilter>
  <tableColumns count="2">
    <tableColumn id="1" xr3:uid="{3BC339E1-9B96-417C-B12C-09532DF19662}" name="x" dataDxfId="175"/>
    <tableColumn id="2" xr3:uid="{CDC1AFBA-B07F-4C78-A495-24252C5B4E94}" name="y" dataDxfId="174"/>
  </tableColumns>
  <tableStyleInfo name="custom_style_project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318D7A2-C16B-4E61-8B0A-2CA95CB6A55A}" name="NACA_0012" displayName="NACA_0012" ref="A2:B43" totalsRowShown="0" headerRowDxfId="173" dataDxfId="172">
  <autoFilter ref="A2:B43" xr:uid="{4318D7A2-C16B-4E61-8B0A-2CA95CB6A55A}">
    <filterColumn colId="0" hiddenButton="1"/>
    <filterColumn colId="1" hiddenButton="1"/>
  </autoFilter>
  <tableColumns count="2">
    <tableColumn id="1" xr3:uid="{FECFDF3B-55D8-49CB-A7BB-84CAD279E00E}" name="x" dataDxfId="171"/>
    <tableColumn id="2" xr3:uid="{597FD24C-1992-40D8-8809-BF8AB8030080}" name="y" dataDxfId="170"/>
  </tableColumns>
  <tableStyleInfo name="custom_style_project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9C447E5-74C7-4BC8-AB5B-DDED9DFB25EF}" name="Table26" displayName="Table26" ref="D2:E42" totalsRowShown="0" headerRowDxfId="169" dataDxfId="167" headerRowBorderDxfId="168" tableBorderDxfId="166" totalsRowBorderDxfId="165">
  <autoFilter ref="D2:E42" xr:uid="{D9C447E5-74C7-4BC8-AB5B-DDED9DFB25EF}">
    <filterColumn colId="0" hiddenButton="1"/>
    <filterColumn colId="1" hiddenButton="1"/>
  </autoFilter>
  <tableColumns count="2">
    <tableColumn id="1" xr3:uid="{6460554B-7390-44B4-B2EC-2DC7B697D839}" name="x" dataDxfId="164"/>
    <tableColumn id="2" xr3:uid="{BC5E6AE0-EB9E-4279-A6CC-01CFD410DC47}" name="y" dataDxfId="163"/>
  </tableColumns>
  <tableStyleInfo name="custom_style_project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64A4F2D-D8D4-49C1-9C6F-C92FCEF6FB86}" name="BACXXX" displayName="BACXXX" ref="A2:B33" totalsRowShown="0" headerRowDxfId="162" dataDxfId="161">
  <autoFilter ref="A2:B33" xr:uid="{764A4F2D-D8D4-49C1-9C6F-C92FCEF6FB86}">
    <filterColumn colId="0" hiddenButton="1"/>
    <filterColumn colId="1" hiddenButton="1"/>
  </autoFilter>
  <tableColumns count="2">
    <tableColumn id="1" xr3:uid="{F4CD27AB-9145-494E-8B28-071B0B662E9A}" name="x" dataDxfId="160"/>
    <tableColumn id="2" xr3:uid="{2A0C6DD2-8872-4D4C-A61D-92C710687AA4}" name="y" dataDxfId="159"/>
  </tableColumns>
  <tableStyleInfo name="custom_style_project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2134995F-B546-4A9E-AFE0-FD89B40E3B97}" name="Table34" displayName="Table34" ref="D2:E32" totalsRowShown="0" headerRowDxfId="158" dataDxfId="157">
  <autoFilter ref="D2:E32" xr:uid="{2134995F-B546-4A9E-AFE0-FD89B40E3B97}">
    <filterColumn colId="0" hiddenButton="1"/>
    <filterColumn colId="1" hiddenButton="1"/>
  </autoFilter>
  <tableColumns count="2">
    <tableColumn id="1" xr3:uid="{6A544D92-348A-4540-BC49-CCAC0743108B}" name="x" dataDxfId="156"/>
    <tableColumn id="2" xr3:uid="{87A76D1B-DDE3-4BDD-AE40-99C58DA8AB58}" name="y" dataDxfId="155"/>
  </tableColumns>
  <tableStyleInfo name="custom_style_project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1" dT="2026-03-26T20:27:01.74" personId="{78CE6BFC-4F0C-42A4-8428-5873BFB72FB3}" id="{110E6AB6-624A-4C01-9372-4C965882A6CB}">
    <text>Doesn’t do anything anymore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7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3" sqref="A3"/>
    </sheetView>
  </sheetViews>
  <sheetFormatPr defaultColWidth="10" defaultRowHeight="14.4" outlineLevelCol="1" x14ac:dyDescent="0.3"/>
  <cols>
    <col min="1" max="1" width="19" bestFit="1" customWidth="1"/>
    <col min="2" max="2" width="30.77734375" bestFit="1" customWidth="1"/>
    <col min="3" max="3" width="83.77734375" bestFit="1" customWidth="1"/>
    <col min="4" max="4" width="13.44140625" bestFit="1" customWidth="1"/>
    <col min="5" max="5" width="26.21875" bestFit="1" customWidth="1"/>
    <col min="6" max="6" width="19.5546875" bestFit="1" customWidth="1"/>
    <col min="7" max="7" width="13" style="1" bestFit="1" customWidth="1"/>
    <col min="8" max="8" width="13.88671875" bestFit="1" customWidth="1"/>
    <col min="9" max="9" width="10.6640625" bestFit="1" customWidth="1"/>
    <col min="10" max="10" width="11" style="1" bestFit="1" customWidth="1"/>
    <col min="11" max="11" width="16.21875" style="1" bestFit="1" customWidth="1"/>
    <col min="12" max="12" width="15.88671875" bestFit="1" customWidth="1"/>
    <col min="13" max="13" width="12.88671875" style="1" bestFit="1" customWidth="1"/>
    <col min="14" max="14" width="17.21875" style="1" bestFit="1" customWidth="1"/>
    <col min="15" max="16" width="21.88671875" style="1" bestFit="1" customWidth="1"/>
    <col min="17" max="17" width="10.109375" style="1" bestFit="1" customWidth="1" outlineLevel="1"/>
    <col min="18" max="18" width="23.5546875" style="1" bestFit="1" customWidth="1" outlineLevel="1"/>
    <col min="19" max="19" width="19.44140625" style="1" bestFit="1" customWidth="1" outlineLevel="1"/>
    <col min="20" max="20" width="14.33203125" style="1" bestFit="1" customWidth="1" outlineLevel="1"/>
    <col min="21" max="21" width="10.109375" style="1" bestFit="1" customWidth="1" outlineLevel="1"/>
    <col min="22" max="22" width="23.5546875" style="1" bestFit="1" customWidth="1"/>
    <col min="23" max="23" width="19.44140625" style="1" bestFit="1" customWidth="1"/>
    <col min="24" max="24" width="18.77734375" style="1" bestFit="1" customWidth="1" outlineLevel="1"/>
    <col min="25" max="25" width="23.21875" style="1" bestFit="1" customWidth="1" outlineLevel="1"/>
    <col min="26" max="26" width="19.44140625" style="1" bestFit="1" customWidth="1" outlineLevel="1"/>
    <col min="27" max="27" width="20.44140625" style="1" bestFit="1" customWidth="1" outlineLevel="1"/>
    <col min="28" max="28" width="16.5546875" style="1" bestFit="1" customWidth="1" outlineLevel="1"/>
    <col min="29" max="29" width="20.77734375" style="1" bestFit="1" customWidth="1" outlineLevel="1"/>
    <col min="30" max="30" width="24.5546875" style="1" bestFit="1" customWidth="1"/>
    <col min="31" max="31" width="34.6640625" style="1" bestFit="1" customWidth="1"/>
    <col min="32" max="32" width="20.33203125" style="1" bestFit="1" customWidth="1"/>
    <col min="33" max="33" width="24.44140625" style="1" bestFit="1" customWidth="1"/>
    <col min="34" max="34" width="18" style="1" bestFit="1" customWidth="1"/>
    <col min="35" max="35" width="11.77734375" style="1" bestFit="1" customWidth="1"/>
    <col min="36" max="36" width="20.44140625" style="1" bestFit="1" customWidth="1"/>
    <col min="37" max="37" width="19.5546875" style="1" bestFit="1" customWidth="1"/>
    <col min="38" max="38" width="20.109375" style="1" bestFit="1" customWidth="1"/>
    <col min="39" max="39" width="9.77734375" style="1" bestFit="1" customWidth="1"/>
  </cols>
  <sheetData>
    <row r="1" spans="1:3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49" t="s">
        <v>129</v>
      </c>
      <c r="B2" s="50" t="s">
        <v>44</v>
      </c>
      <c r="C2" s="50" t="s">
        <v>414</v>
      </c>
      <c r="D2" s="50" t="b">
        <v>0</v>
      </c>
      <c r="E2" s="50" t="b">
        <v>1</v>
      </c>
      <c r="F2" s="50">
        <v>4</v>
      </c>
      <c r="G2" s="50" t="s">
        <v>39</v>
      </c>
      <c r="H2" s="50">
        <v>1</v>
      </c>
      <c r="I2" s="50"/>
      <c r="J2" s="50" t="b">
        <v>0</v>
      </c>
      <c r="K2" s="50"/>
      <c r="L2" s="50"/>
      <c r="M2" s="50"/>
      <c r="N2" s="50"/>
      <c r="O2" s="50"/>
      <c r="P2" s="50"/>
      <c r="Q2" s="50"/>
      <c r="R2" s="50"/>
      <c r="S2" s="50"/>
      <c r="T2" s="50">
        <v>0.01</v>
      </c>
      <c r="U2" s="50"/>
      <c r="V2" s="50"/>
      <c r="W2" s="50"/>
      <c r="X2" s="50"/>
      <c r="Y2" s="50"/>
      <c r="Z2" s="50"/>
      <c r="AA2" s="50">
        <f>meshing_table[[#This Row],[Bl_First_Height]]*20</f>
        <v>7.9999999999999993E-5</v>
      </c>
      <c r="AB2" s="50">
        <v>1.2</v>
      </c>
      <c r="AC2" s="50">
        <v>0.4</v>
      </c>
      <c r="AD2" s="50"/>
      <c r="AE2" s="50">
        <v>12</v>
      </c>
      <c r="AF2" s="50" t="s">
        <v>40</v>
      </c>
      <c r="AG2" s="50">
        <v>20</v>
      </c>
      <c r="AH2" s="50">
        <f t="shared" ref="AH2" si="0">4*10^-6</f>
        <v>3.9999999999999998E-6</v>
      </c>
      <c r="AI2" s="50">
        <v>1.2</v>
      </c>
      <c r="AJ2" s="50"/>
      <c r="AK2" s="50">
        <v>2.5</v>
      </c>
      <c r="AL2" s="50">
        <v>1.9</v>
      </c>
      <c r="AM2" s="51" t="s">
        <v>41</v>
      </c>
    </row>
    <row r="3" spans="1:39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x14ac:dyDescent="0.3">
      <c r="A4" s="25" t="s">
        <v>42</v>
      </c>
      <c r="B4" s="25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7" spans="1:39" x14ac:dyDescent="0.3">
      <c r="A7" s="32" t="s">
        <v>43</v>
      </c>
      <c r="B7" s="32"/>
      <c r="C7" s="33"/>
      <c r="D7" s="33"/>
      <c r="E7" s="33"/>
      <c r="F7" s="34"/>
      <c r="G7" s="34"/>
      <c r="H7" s="34"/>
      <c r="I7" s="37"/>
      <c r="J7" s="33"/>
      <c r="K7" s="33"/>
      <c r="L7" s="35"/>
      <c r="M7" s="33"/>
      <c r="N7" s="33"/>
      <c r="O7" s="33"/>
      <c r="P7" s="33"/>
      <c r="Q7" s="33"/>
      <c r="R7" s="33"/>
      <c r="S7" s="36"/>
      <c r="T7" s="36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</row>
  </sheetData>
  <dataValidations count="2">
    <dataValidation type="list" allowBlank="1" showInputMessage="1" showErrorMessage="1" sqref="N7 S7 U7 D7:E7 D2:E4 J2:J4" xr:uid="{00000000-0002-0000-0000-000000000000}">
      <formula1>"TRUE, FALSE"</formula1>
    </dataValidation>
    <dataValidation type="list" allowBlank="1" showInputMessage="1" showErrorMessage="1" sqref="L7 G2:G4" xr:uid="{00000000-0002-0000-0000-000001000000}">
      <formula1>"single, double"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45E60F-8A7A-40D6-B8EC-4FA9D3C21ED4}">
          <x14:formula1>
            <xm:f>setup!$A$2:$A$11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J422"/>
  <sheetViews>
    <sheetView zoomScaleNormal="100" workbookViewId="0">
      <pane xSplit="2" ySplit="1" topLeftCell="C2" activePane="bottomRight" state="frozen"/>
      <selection activeCell="K30" sqref="K30"/>
      <selection pane="topRight" activeCell="K30" sqref="K30"/>
      <selection pane="bottomLeft" activeCell="K30" sqref="K30"/>
      <selection pane="bottomRight" activeCell="A2" sqref="A2"/>
    </sheetView>
  </sheetViews>
  <sheetFormatPr defaultRowHeight="14.4" outlineLevelCol="1" x14ac:dyDescent="0.3"/>
  <cols>
    <col min="1" max="1" width="22" style="1" bestFit="1" customWidth="1"/>
    <col min="2" max="2" width="27.6640625" style="1" bestFit="1" customWidth="1"/>
    <col min="3" max="3" width="121.21875" style="1" bestFit="1" customWidth="1"/>
    <col min="4" max="4" width="13.44140625" style="1" bestFit="1" customWidth="1"/>
    <col min="5" max="5" width="26.21875" style="1" bestFit="1" customWidth="1"/>
    <col min="6" max="6" width="22.5546875" style="1" bestFit="1" customWidth="1"/>
    <col min="7" max="7" width="11.88671875" style="1" bestFit="1" customWidth="1"/>
    <col min="8" max="8" width="8.5546875" style="1" bestFit="1" customWidth="1"/>
    <col min="9" max="9" width="13.88671875" style="1" bestFit="1" customWidth="1"/>
    <col min="10" max="10" width="15" style="70" bestFit="1" customWidth="1"/>
    <col min="11" max="11" width="15.77734375" style="1" bestFit="1" customWidth="1"/>
    <col min="12" max="12" width="19.5546875" style="1" bestFit="1" customWidth="1"/>
    <col min="13" max="13" width="13" style="1" bestFit="1" customWidth="1"/>
    <col min="14" max="14" width="13.33203125" style="1" bestFit="1" customWidth="1"/>
    <col min="15" max="15" width="12.88671875" style="1" bestFit="1" customWidth="1"/>
    <col min="16" max="16" width="19.77734375" style="1" bestFit="1" customWidth="1" outlineLevel="1"/>
    <col min="17" max="17" width="17.88671875" style="1" bestFit="1" customWidth="1" outlineLevel="1"/>
    <col min="18" max="18" width="22.33203125" style="1" bestFit="1" customWidth="1" outlineLevel="1"/>
    <col min="19" max="19" width="19" style="1" bestFit="1" customWidth="1"/>
    <col min="20" max="20" width="18.77734375" style="1" bestFit="1" customWidth="1"/>
    <col min="21" max="21" width="26.6640625" style="1" bestFit="1" customWidth="1"/>
    <col min="22" max="22" width="22.6640625" style="1" bestFit="1" customWidth="1"/>
    <col min="23" max="23" width="27.21875" style="1" bestFit="1" customWidth="1"/>
    <col min="24" max="24" width="23.21875" style="1" bestFit="1" customWidth="1"/>
    <col min="25" max="25" width="24.33203125" style="1" bestFit="1" customWidth="1"/>
    <col min="26" max="26" width="19" style="1" bestFit="1" customWidth="1"/>
    <col min="27" max="28" width="18.5546875" style="1" bestFit="1" customWidth="1"/>
    <col min="29" max="29" width="18.21875" style="1" bestFit="1" customWidth="1"/>
    <col min="30" max="30" width="16.21875" style="1" bestFit="1" customWidth="1"/>
    <col min="31" max="31" width="14.88671875" style="1" bestFit="1" customWidth="1"/>
    <col min="32" max="32" width="19.6640625" style="1" bestFit="1" customWidth="1"/>
    <col min="33" max="33" width="17.21875" style="1" bestFit="1" customWidth="1"/>
    <col min="34" max="34" width="16.21875" style="1" bestFit="1" customWidth="1"/>
    <col min="35" max="35" width="15.88671875" style="1" bestFit="1" customWidth="1"/>
    <col min="36" max="36" width="21.88671875" style="1" bestFit="1" customWidth="1"/>
    <col min="37" max="37" width="17.33203125" style="1" bestFit="1" customWidth="1"/>
    <col min="38" max="38" width="23.88671875" style="1" bestFit="1" customWidth="1" outlineLevel="1"/>
    <col min="39" max="39" width="12.21875" style="1" bestFit="1" customWidth="1" outlineLevel="1"/>
    <col min="40" max="40" width="18.109375" style="1" bestFit="1" customWidth="1" outlineLevel="1"/>
    <col min="41" max="41" width="16.5546875" style="1" bestFit="1" customWidth="1" outlineLevel="1"/>
    <col min="42" max="42" width="20" style="1" bestFit="1" customWidth="1" outlineLevel="1"/>
    <col min="43" max="43" width="19.109375" style="1" bestFit="1" customWidth="1"/>
    <col min="44" max="44" width="22.21875" style="1" bestFit="1" customWidth="1"/>
    <col min="45" max="45" width="18.6640625" style="1" bestFit="1" customWidth="1"/>
    <col min="46" max="46" width="16.44140625" style="1" bestFit="1" customWidth="1"/>
    <col min="47" max="47" width="18.77734375" style="1" bestFit="1" customWidth="1"/>
    <col min="48" max="48" width="25.33203125" style="1" bestFit="1" customWidth="1"/>
    <col min="49" max="49" width="18.109375" style="1" bestFit="1" customWidth="1"/>
    <col min="50" max="50" width="24.88671875" style="1" bestFit="1" customWidth="1"/>
    <col min="51" max="51" width="23.33203125" style="1" bestFit="1" customWidth="1"/>
    <col min="52" max="52" width="24.88671875" style="1" bestFit="1" customWidth="1"/>
    <col min="53" max="54" width="19.88671875" style="1" bestFit="1" customWidth="1"/>
    <col min="55" max="55" width="19.77734375" style="1" bestFit="1" customWidth="1"/>
    <col min="56" max="56" width="24.5546875" style="1" bestFit="1" customWidth="1"/>
    <col min="57" max="57" width="23.5546875" style="1" bestFit="1" customWidth="1"/>
    <col min="58" max="58" width="22.44140625" style="1" bestFit="1" customWidth="1"/>
    <col min="59" max="59" width="18.44140625" style="1" bestFit="1" customWidth="1"/>
    <col min="60" max="60" width="22" style="1" bestFit="1" customWidth="1"/>
    <col min="61" max="61" width="16.88671875" style="1" bestFit="1" customWidth="1"/>
    <col min="62" max="62" width="22.33203125" style="1" bestFit="1" customWidth="1"/>
    <col min="63" max="63" width="17.88671875" style="1" bestFit="1" customWidth="1"/>
    <col min="64" max="64" width="14" style="1" bestFit="1" customWidth="1"/>
    <col min="65" max="65" width="17.5546875" style="1" bestFit="1" customWidth="1"/>
    <col min="66" max="66" width="12.44140625" style="1" bestFit="1" customWidth="1"/>
    <col min="67" max="67" width="17.88671875" style="1" bestFit="1" customWidth="1"/>
    <col min="68" max="68" width="12.44140625" style="1" bestFit="1" customWidth="1"/>
    <col min="69" max="70" width="17.88671875" style="1" bestFit="1" customWidth="1"/>
    <col min="71" max="71" width="12.44140625" style="1" bestFit="1" customWidth="1"/>
    <col min="72" max="73" width="17.88671875" style="1" bestFit="1" customWidth="1"/>
    <col min="74" max="74" width="8.88671875" style="1"/>
    <col min="75" max="75" width="20.44140625" style="1" bestFit="1" customWidth="1"/>
    <col min="76" max="76" width="20.109375" style="1" bestFit="1" customWidth="1"/>
    <col min="77" max="16384" width="8.88671875" style="1"/>
  </cols>
  <sheetData>
    <row r="1" spans="1:6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45</v>
      </c>
      <c r="G1" s="2" t="s">
        <v>46</v>
      </c>
      <c r="H1" s="2" t="s">
        <v>47</v>
      </c>
      <c r="I1" s="2" t="s">
        <v>7</v>
      </c>
      <c r="J1" s="31" t="s">
        <v>48</v>
      </c>
      <c r="K1" s="2" t="s">
        <v>49</v>
      </c>
      <c r="L1" s="2" t="s">
        <v>5</v>
      </c>
      <c r="M1" s="2" t="s">
        <v>6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63</v>
      </c>
      <c r="AB1" s="2" t="s">
        <v>64</v>
      </c>
      <c r="AC1" s="2" t="s">
        <v>65</v>
      </c>
      <c r="AD1" s="2" t="s">
        <v>66</v>
      </c>
      <c r="AE1" s="2" t="s">
        <v>67</v>
      </c>
      <c r="AF1" s="2" t="s">
        <v>68</v>
      </c>
      <c r="AG1" s="2" t="s">
        <v>13</v>
      </c>
      <c r="AH1" s="2" t="s">
        <v>10</v>
      </c>
      <c r="AI1" s="2" t="s">
        <v>11</v>
      </c>
      <c r="AJ1" s="2" t="s">
        <v>14</v>
      </c>
      <c r="AK1" s="2" t="s">
        <v>69</v>
      </c>
      <c r="AL1" s="2" t="s">
        <v>70</v>
      </c>
      <c r="AM1" s="2" t="s">
        <v>71</v>
      </c>
      <c r="AN1" s="2" t="s">
        <v>72</v>
      </c>
      <c r="AO1" s="2" t="s">
        <v>73</v>
      </c>
      <c r="AP1" s="2" t="s">
        <v>74</v>
      </c>
      <c r="AQ1" s="2" t="s">
        <v>75</v>
      </c>
      <c r="AR1" s="2" t="s">
        <v>76</v>
      </c>
      <c r="AS1" s="2" t="s">
        <v>77</v>
      </c>
      <c r="AT1" s="2" t="s">
        <v>78</v>
      </c>
      <c r="AU1" s="2" t="s">
        <v>79</v>
      </c>
      <c r="AV1" s="2" t="s">
        <v>80</v>
      </c>
      <c r="AW1" s="2" t="s">
        <v>81</v>
      </c>
      <c r="AX1" s="2" t="s">
        <v>82</v>
      </c>
      <c r="AY1" s="2" t="s">
        <v>83</v>
      </c>
      <c r="AZ1" s="2" t="s">
        <v>84</v>
      </c>
      <c r="BA1" s="2" t="s">
        <v>85</v>
      </c>
      <c r="BB1" s="2" t="s">
        <v>86</v>
      </c>
      <c r="BC1" s="2" t="s">
        <v>87</v>
      </c>
      <c r="BD1" s="2" t="s">
        <v>88</v>
      </c>
      <c r="BE1" s="2" t="s">
        <v>89</v>
      </c>
      <c r="BF1" s="2" t="s">
        <v>90</v>
      </c>
      <c r="BG1" s="2" t="s">
        <v>91</v>
      </c>
      <c r="BH1" s="2" t="s">
        <v>92</v>
      </c>
      <c r="BI1" s="2" t="s">
        <v>93</v>
      </c>
      <c r="BJ1" s="2" t="s">
        <v>94</v>
      </c>
    </row>
    <row r="2" spans="1:62" ht="15" customHeight="1" x14ac:dyDescent="0.3">
      <c r="A2" s="28" t="s">
        <v>129</v>
      </c>
      <c r="B2" s="28" t="s">
        <v>101</v>
      </c>
      <c r="C2" s="28" t="s">
        <v>416</v>
      </c>
      <c r="D2" s="28" t="b">
        <v>1</v>
      </c>
      <c r="E2" s="28" t="b">
        <v>1</v>
      </c>
      <c r="F2" s="28"/>
      <c r="G2" s="81">
        <v>2675.1672325955042</v>
      </c>
      <c r="H2" s="29">
        <v>1.55</v>
      </c>
      <c r="I2" s="29">
        <v>1</v>
      </c>
      <c r="J2" s="30">
        <v>0.71593960641767618</v>
      </c>
      <c r="K2" s="28">
        <v>0.1</v>
      </c>
      <c r="L2" s="28">
        <v>4</v>
      </c>
      <c r="M2" s="55" t="s">
        <v>39</v>
      </c>
      <c r="N2" s="28">
        <v>500</v>
      </c>
      <c r="O2" s="28" t="b">
        <v>0</v>
      </c>
      <c r="P2" s="28"/>
      <c r="Q2" s="28"/>
      <c r="R2" s="28"/>
      <c r="S2" s="28" t="s">
        <v>95</v>
      </c>
      <c r="T2" s="28"/>
      <c r="U2" s="28"/>
      <c r="V2" s="28"/>
      <c r="W2" s="28"/>
      <c r="X2" s="28"/>
      <c r="Y2" s="28"/>
      <c r="Z2" s="28">
        <v>5</v>
      </c>
      <c r="AA2" s="28"/>
      <c r="AB2" s="28"/>
      <c r="AC2" s="28"/>
      <c r="AD2" s="28"/>
      <c r="AE2" s="28" t="s">
        <v>96</v>
      </c>
      <c r="AF2" s="28" t="s">
        <v>97</v>
      </c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 t="b">
        <v>1</v>
      </c>
      <c r="BF2" s="28" t="b">
        <v>1</v>
      </c>
      <c r="BG2" s="28" t="b">
        <v>1</v>
      </c>
      <c r="BH2" s="28" t="b">
        <v>1</v>
      </c>
      <c r="BI2" s="28" t="b">
        <v>0</v>
      </c>
      <c r="BJ2" s="28" t="s">
        <v>98</v>
      </c>
    </row>
    <row r="3" spans="1:62" x14ac:dyDescent="0.3">
      <c r="A3" s="56"/>
      <c r="B3" s="60"/>
      <c r="C3" s="57"/>
      <c r="D3" s="57"/>
      <c r="E3" s="57"/>
      <c r="F3" s="57"/>
      <c r="G3" s="69"/>
      <c r="H3" s="58"/>
      <c r="I3" s="58"/>
      <c r="J3" s="59"/>
      <c r="K3" s="57"/>
      <c r="L3" s="57"/>
      <c r="M3" s="60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61"/>
    </row>
    <row r="4" spans="1:62" ht="13.8" customHeight="1" x14ac:dyDescent="0.3">
      <c r="A4" s="25" t="s">
        <v>42</v>
      </c>
      <c r="B4" s="25"/>
      <c r="C4" s="25"/>
      <c r="D4" s="25"/>
      <c r="E4" s="25"/>
      <c r="F4" s="25"/>
      <c r="G4" s="52"/>
      <c r="H4" s="52"/>
      <c r="I4" s="52"/>
      <c r="J4" s="53"/>
      <c r="K4" s="25"/>
      <c r="L4" s="25"/>
      <c r="M4" s="54"/>
      <c r="N4" s="25"/>
      <c r="O4" s="25"/>
      <c r="P4" s="25"/>
      <c r="Q4" s="25"/>
      <c r="R4" s="25"/>
      <c r="S4" s="25"/>
      <c r="T4" s="25"/>
      <c r="U4" s="54"/>
      <c r="V4" s="54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</row>
    <row r="5" spans="1:62" x14ac:dyDescent="0.3">
      <c r="A5" s="2"/>
      <c r="B5" s="2"/>
      <c r="C5" s="2"/>
      <c r="D5" s="2"/>
      <c r="E5" s="2"/>
      <c r="F5" s="2"/>
      <c r="G5" s="27"/>
      <c r="H5" s="24"/>
      <c r="I5" s="24"/>
      <c r="J5" s="31"/>
      <c r="K5" s="2"/>
      <c r="L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</row>
    <row r="6" spans="1:62" ht="15" customHeight="1" x14ac:dyDescent="0.3">
      <c r="A6" s="28"/>
      <c r="B6" s="28"/>
      <c r="C6" s="28"/>
      <c r="D6" s="28"/>
      <c r="E6" s="28"/>
      <c r="F6" s="28"/>
      <c r="G6" s="29"/>
      <c r="H6" s="29"/>
      <c r="I6" s="29"/>
      <c r="J6" s="30"/>
      <c r="K6" s="28"/>
      <c r="L6" s="28"/>
      <c r="M6" s="55"/>
      <c r="N6" s="28"/>
      <c r="O6" s="28"/>
      <c r="P6" s="28"/>
      <c r="Q6" s="28"/>
      <c r="R6" s="28"/>
      <c r="S6" s="28"/>
      <c r="T6" s="28"/>
      <c r="U6" s="55"/>
      <c r="V6" s="55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</row>
    <row r="7" spans="1:62" x14ac:dyDescent="0.3">
      <c r="A7" s="32" t="s">
        <v>43</v>
      </c>
      <c r="B7" s="33"/>
      <c r="C7" s="33"/>
      <c r="D7" s="33"/>
      <c r="E7" s="33"/>
      <c r="F7" s="33"/>
      <c r="G7" s="34"/>
      <c r="H7" s="34"/>
      <c r="I7" s="34"/>
      <c r="J7" s="37"/>
      <c r="K7" s="33"/>
      <c r="L7" s="33"/>
      <c r="M7" s="35"/>
      <c r="N7" s="33"/>
      <c r="O7" s="33"/>
      <c r="P7" s="33"/>
      <c r="Q7" s="33"/>
      <c r="R7" s="33"/>
      <c r="S7" s="33"/>
      <c r="T7" s="33"/>
      <c r="U7" s="35"/>
      <c r="V7" s="35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</row>
    <row r="15" spans="1:62" ht="13.8" customHeight="1" x14ac:dyDescent="0.3"/>
    <row r="16" spans="1:62" ht="13.8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33" ht="13.8" customHeight="1" x14ac:dyDescent="0.3"/>
    <row r="183" ht="12.6" customHeight="1" x14ac:dyDescent="0.3"/>
    <row r="288" ht="15" customHeight="1" x14ac:dyDescent="0.3"/>
    <row r="289" ht="15" customHeight="1" x14ac:dyDescent="0.3"/>
    <row r="290" ht="15" customHeight="1" x14ac:dyDescent="0.3"/>
    <row r="291" ht="15" customHeight="1" x14ac:dyDescent="0.3"/>
    <row r="292" ht="15" customHeight="1" x14ac:dyDescent="0.3"/>
    <row r="293" ht="15" customHeight="1" x14ac:dyDescent="0.3"/>
    <row r="294" ht="15" customHeight="1" x14ac:dyDescent="0.3"/>
    <row r="295" ht="15" customHeight="1" x14ac:dyDescent="0.3"/>
    <row r="296" ht="15" customHeight="1" x14ac:dyDescent="0.3"/>
    <row r="411" ht="15" customHeight="1" x14ac:dyDescent="0.3"/>
    <row r="412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19" ht="15" customHeight="1" x14ac:dyDescent="0.3"/>
    <row r="422" ht="15" customHeight="1" x14ac:dyDescent="0.3"/>
  </sheetData>
  <phoneticPr fontId="4" type="noConversion"/>
  <dataValidations count="3">
    <dataValidation type="list" allowBlank="1" showInputMessage="1" showErrorMessage="1" sqref="U2 D2:F1048576 U4:U1048576 W2:W1048576 BD2:BI1048576 O2:O1048576 AX2:AZ1048576" xr:uid="{00000000-0002-0000-0100-000000000000}">
      <formula1>"TRUE, FALSE"</formula1>
    </dataValidation>
    <dataValidation type="decimal" operator="greaterThan" allowBlank="1" showInputMessage="1" showErrorMessage="1" sqref="V5 AA2:AA6 V2:V3" xr:uid="{00000000-0002-0000-0100-000001000000}">
      <formula1>0</formula1>
    </dataValidation>
    <dataValidation type="list" allowBlank="1" showInputMessage="1" showErrorMessage="1" sqref="M2:M1048576" xr:uid="{00000000-0002-0000-0100-000002000000}">
      <formula1>"single, double"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265E19BA-B136-487B-A147-7E8CDB72A685}">
          <x14:formula1>
            <xm:f>mesh_paths!$A:$A</xm:f>
          </x14:formula1>
          <xm:sqref>C2:C1048576</xm:sqref>
        </x14:dataValidation>
        <x14:dataValidation type="list" allowBlank="1" showInputMessage="1" showErrorMessage="1" xr:uid="{B38BB7D5-55A3-4DA4-9225-634092A45CCF}">
          <x14:formula1>
            <xm:f>setup!$D$2:$D$13</xm:f>
          </x14:formula1>
          <xm:sqref>AE2:AE1048576</xm:sqref>
        </x14:dataValidation>
        <x14:dataValidation type="list" allowBlank="1" showInputMessage="1" showErrorMessage="1" xr:uid="{F2DDCD52-D346-402D-86D9-0155703F75AA}">
          <x14:formula1>
            <xm:f>setup!$E$2:$E$6</xm:f>
          </x14:formula1>
          <xm:sqref>AF2:AF1048576</xm:sqref>
        </x14:dataValidation>
        <x14:dataValidation type="list" allowBlank="1" showInputMessage="1" showErrorMessage="1" xr:uid="{544832AB-223D-48B1-9BAB-4A43F645FBA8}">
          <x14:formula1>
            <xm:f>setup!$G$2:$G$5</xm:f>
          </x14:formula1>
          <xm:sqref>AO2:AO1048576</xm:sqref>
        </x14:dataValidation>
        <x14:dataValidation type="list" allowBlank="1" showInputMessage="1" showErrorMessage="1" xr:uid="{F4833D4B-C629-4FC3-959C-A48E11B60EE6}">
          <x14:formula1>
            <xm:f>setup!$Q$2:$Q$4</xm:f>
          </x14:formula1>
          <xm:sqref>S2:S1048576</xm:sqref>
        </x14:dataValidation>
        <x14:dataValidation type="list" allowBlank="1" showInputMessage="1" showErrorMessage="1" xr:uid="{AC2EE5C0-EF02-48EC-8087-68D2B557636D}">
          <x14:formula1>
            <xm:f>setup!$H$2:$H$4</xm:f>
          </x14:formula1>
          <xm:sqref>AP2:AP1048576</xm:sqref>
        </x14:dataValidation>
        <x14:dataValidation type="list" allowBlank="1" showInputMessage="1" showErrorMessage="1" xr:uid="{EAF56C36-0C24-4045-9CD1-89538617A7D6}">
          <x14:formula1>
            <xm:f>setup!$I$2:$I$5</xm:f>
          </x14:formula1>
          <xm:sqref>AQ2:AQ1048576</xm:sqref>
        </x14:dataValidation>
        <x14:dataValidation type="list" allowBlank="1" showInputMessage="1" showErrorMessage="1" xr:uid="{A491CE8F-FE13-4B18-8DA6-4538785911D9}">
          <x14:formula1>
            <xm:f>setup!$J$2:$J$5</xm:f>
          </x14:formula1>
          <xm:sqref>AR2:AR1048576</xm:sqref>
        </x14:dataValidation>
        <x14:dataValidation type="list" allowBlank="1" showInputMessage="1" showErrorMessage="1" xr:uid="{C549484A-04E4-4243-93CA-23EF1314D74E}">
          <x14:formula1>
            <xm:f>setup!$K$2:$K$5</xm:f>
          </x14:formula1>
          <xm:sqref>AS2:AS1048576</xm:sqref>
        </x14:dataValidation>
        <x14:dataValidation type="list" allowBlank="1" showInputMessage="1" showErrorMessage="1" xr:uid="{750F4323-B92A-497C-97BD-A8267DA67BC3}">
          <x14:formula1>
            <xm:f>setup!$L$2:$L$6</xm:f>
          </x14:formula1>
          <xm:sqref>AT2:AT1048576</xm:sqref>
        </x14:dataValidation>
        <x14:dataValidation type="list" allowBlank="1" showInputMessage="1" showErrorMessage="1" xr:uid="{5DD0180B-3BF1-42DF-8738-0B124C304D45}">
          <x14:formula1>
            <xm:f>setup!$M$2:$M$5</xm:f>
          </x14:formula1>
          <xm:sqref>AU2:AU1048576</xm:sqref>
        </x14:dataValidation>
        <x14:dataValidation type="list" allowBlank="1" showInputMessage="1" showErrorMessage="1" xr:uid="{1B83A81D-8274-486D-AAD7-086449810737}">
          <x14:formula1>
            <xm:f>setup!$N$2:$N$5</xm:f>
          </x14:formula1>
          <xm:sqref>AV2:AV1048576</xm:sqref>
        </x14:dataValidation>
        <x14:dataValidation type="list" allowBlank="1" showInputMessage="1" showErrorMessage="1" xr:uid="{2CCA59E4-F766-4F12-9CCA-F122B6025816}">
          <x14:formula1>
            <xm:f>setup!$O$2:$O$3</xm:f>
          </x14:formula1>
          <xm:sqref>Y2:Y1048576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X6"/>
  <sheetViews>
    <sheetView zoomScaleNormal="100" workbookViewId="0">
      <pane xSplit="2" ySplit="1" topLeftCell="Q2" activePane="bottomRight" state="frozen"/>
      <selection activeCell="K30" sqref="K30"/>
      <selection pane="topRight" activeCell="K30" sqref="K30"/>
      <selection pane="bottomLeft" activeCell="K30" sqref="K30"/>
      <selection pane="bottomRight" activeCell="Q18" sqref="Q18"/>
    </sheetView>
  </sheetViews>
  <sheetFormatPr defaultRowHeight="14.4" outlineLevelCol="1" x14ac:dyDescent="0.3"/>
  <cols>
    <col min="1" max="1" width="14.5546875" bestFit="1" customWidth="1"/>
    <col min="2" max="2" width="22.6640625" bestFit="1" customWidth="1"/>
    <col min="3" max="3" width="123.5546875" bestFit="1" customWidth="1"/>
    <col min="4" max="4" width="13.44140625" bestFit="1" customWidth="1"/>
    <col min="5" max="5" width="26.21875" bestFit="1" customWidth="1"/>
    <col min="6" max="6" width="17.21875" bestFit="1" customWidth="1"/>
    <col min="7" max="7" width="16.44140625" bestFit="1" customWidth="1"/>
    <col min="8" max="8" width="31" bestFit="1" customWidth="1"/>
    <col min="9" max="9" width="11.88671875" bestFit="1" customWidth="1"/>
    <col min="10" max="10" width="8.5546875" bestFit="1" customWidth="1"/>
    <col min="11" max="11" width="15" bestFit="1" customWidth="1"/>
    <col min="12" max="12" width="15.77734375" bestFit="1" customWidth="1"/>
    <col min="13" max="13" width="19.5546875" bestFit="1" customWidth="1"/>
    <col min="14" max="14" width="20.21875" bestFit="1" customWidth="1"/>
    <col min="15" max="15" width="18.77734375" bestFit="1" customWidth="1"/>
    <col min="16" max="17" width="17.6640625" bestFit="1" customWidth="1"/>
    <col min="18" max="18" width="30.77734375" customWidth="1"/>
    <col min="19" max="19" width="18.88671875" bestFit="1" customWidth="1"/>
    <col min="20" max="20" width="18.109375" bestFit="1" customWidth="1"/>
    <col min="21" max="21" width="18.88671875" bestFit="1" customWidth="1"/>
    <col min="22" max="22" width="20.44140625" bestFit="1" customWidth="1"/>
    <col min="23" max="23" width="27" bestFit="1" customWidth="1"/>
    <col min="24" max="24" width="12.88671875" bestFit="1" customWidth="1"/>
    <col min="25" max="25" width="15.109375" bestFit="1" customWidth="1"/>
    <col min="26" max="26" width="18.5546875" bestFit="1" customWidth="1"/>
    <col min="27" max="27" width="19.33203125" bestFit="1" customWidth="1"/>
    <col min="28" max="28" width="24.6640625" bestFit="1" customWidth="1"/>
    <col min="29" max="29" width="15.21875" bestFit="1" customWidth="1"/>
    <col min="30" max="30" width="14.88671875" bestFit="1" customWidth="1"/>
    <col min="31" max="31" width="24.33203125" bestFit="1" customWidth="1"/>
    <col min="32" max="32" width="19.77734375" bestFit="1" customWidth="1"/>
    <col min="33" max="33" width="17.88671875" bestFit="1" customWidth="1"/>
    <col min="34" max="34" width="22.33203125" bestFit="1" customWidth="1"/>
    <col min="35" max="35" width="19" bestFit="1" customWidth="1"/>
    <col min="36" max="36" width="25.33203125" bestFit="1" customWidth="1"/>
    <col min="37" max="37" width="23.44140625" bestFit="1" customWidth="1"/>
    <col min="38" max="38" width="27.88671875" bestFit="1" customWidth="1"/>
    <col min="39" max="39" width="24.5546875" bestFit="1" customWidth="1"/>
    <col min="40" max="40" width="16.88671875" bestFit="1" customWidth="1" outlineLevel="1"/>
    <col min="41" max="41" width="22.33203125" bestFit="1" customWidth="1" outlineLevel="1"/>
    <col min="42" max="42" width="16.21875" bestFit="1" customWidth="1" outlineLevel="1"/>
    <col min="43" max="43" width="15.88671875" bestFit="1" customWidth="1" outlineLevel="1"/>
    <col min="44" max="44" width="17.21875" bestFit="1" customWidth="1"/>
    <col min="45" max="45" width="24.88671875" bestFit="1" customWidth="1"/>
    <col min="46" max="46" width="27.21875" bestFit="1" customWidth="1"/>
    <col min="47" max="47" width="23.21875" bestFit="1" customWidth="1"/>
    <col min="48" max="48" width="22" bestFit="1" customWidth="1"/>
    <col min="49" max="49" width="14" bestFit="1" customWidth="1"/>
    <col min="50" max="50" width="15.77734375" bestFit="1" customWidth="1"/>
  </cols>
  <sheetData>
    <row r="1" spans="1:50" x14ac:dyDescent="0.3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103</v>
      </c>
      <c r="G1" s="28" t="s">
        <v>104</v>
      </c>
      <c r="H1" s="28" t="s">
        <v>105</v>
      </c>
      <c r="I1" s="28" t="s">
        <v>46</v>
      </c>
      <c r="J1" s="28" t="s">
        <v>47</v>
      </c>
      <c r="K1" s="28" t="s">
        <v>48</v>
      </c>
      <c r="L1" s="28" t="s">
        <v>49</v>
      </c>
      <c r="M1" s="28" t="s">
        <v>5</v>
      </c>
      <c r="N1" s="28" t="s">
        <v>106</v>
      </c>
      <c r="O1" s="28" t="s">
        <v>107</v>
      </c>
      <c r="P1" s="28" t="s">
        <v>108</v>
      </c>
      <c r="Q1" s="28" t="s">
        <v>405</v>
      </c>
      <c r="R1" s="28" t="s">
        <v>406</v>
      </c>
      <c r="S1" s="28" t="s">
        <v>109</v>
      </c>
      <c r="T1" s="28" t="s">
        <v>407</v>
      </c>
      <c r="U1" s="28" t="s">
        <v>110</v>
      </c>
      <c r="V1" s="28" t="s">
        <v>111</v>
      </c>
      <c r="W1" s="28" t="s">
        <v>112</v>
      </c>
      <c r="X1" s="28" t="s">
        <v>51</v>
      </c>
      <c r="Y1" s="28" t="s">
        <v>113</v>
      </c>
      <c r="Z1" s="28" t="s">
        <v>114</v>
      </c>
      <c r="AA1" s="28" t="s">
        <v>115</v>
      </c>
      <c r="AB1" s="28" t="s">
        <v>116</v>
      </c>
      <c r="AC1" s="28" t="s">
        <v>55</v>
      </c>
      <c r="AD1" s="28" t="s">
        <v>67</v>
      </c>
      <c r="AE1" s="2" t="s">
        <v>61</v>
      </c>
      <c r="AF1" s="28" t="s">
        <v>52</v>
      </c>
      <c r="AG1" s="28" t="s">
        <v>53</v>
      </c>
      <c r="AH1" s="28" t="s">
        <v>54</v>
      </c>
      <c r="AI1" s="28" t="s">
        <v>62</v>
      </c>
      <c r="AJ1" s="28" t="s">
        <v>117</v>
      </c>
      <c r="AK1" s="28" t="s">
        <v>118</v>
      </c>
      <c r="AL1" s="28" t="s">
        <v>119</v>
      </c>
      <c r="AM1" s="28" t="s">
        <v>120</v>
      </c>
      <c r="AN1" s="28" t="s">
        <v>93</v>
      </c>
      <c r="AO1" s="28" t="s">
        <v>94</v>
      </c>
      <c r="AP1" s="28" t="s">
        <v>10</v>
      </c>
      <c r="AQ1" s="28" t="s">
        <v>11</v>
      </c>
      <c r="AR1" s="28" t="s">
        <v>13</v>
      </c>
      <c r="AS1" s="28" t="s">
        <v>121</v>
      </c>
      <c r="AT1" s="28" t="s">
        <v>59</v>
      </c>
      <c r="AU1" s="28" t="s">
        <v>60</v>
      </c>
      <c r="AV1" s="28" t="s">
        <v>122</v>
      </c>
      <c r="AW1" s="28" t="s">
        <v>123</v>
      </c>
      <c r="AX1" s="28" t="s">
        <v>124</v>
      </c>
    </row>
    <row r="2" spans="1:50" x14ac:dyDescent="0.3">
      <c r="A2" s="39" t="str">
        <f>_xlfn.TEXTAFTER(_xlfn.TEXTBEFORE(C2, "/",-3), "/",-1)</f>
        <v>NACA_0012</v>
      </c>
      <c r="B2" s="40" t="s">
        <v>126</v>
      </c>
      <c r="C2" s="40" t="s">
        <v>410</v>
      </c>
      <c r="D2" s="40" t="b">
        <v>1</v>
      </c>
      <c r="E2" s="40" t="b">
        <v>1</v>
      </c>
      <c r="F2" s="40" t="b">
        <v>0</v>
      </c>
      <c r="G2" s="40" t="b">
        <v>1</v>
      </c>
      <c r="H2" s="41" t="b">
        <v>0</v>
      </c>
      <c r="I2" s="42">
        <v>2675.1672325955042</v>
      </c>
      <c r="J2" s="43">
        <v>1.55</v>
      </c>
      <c r="K2" s="42">
        <v>0.71593960641767618</v>
      </c>
      <c r="L2" s="41">
        <v>1</v>
      </c>
      <c r="M2" s="40">
        <v>4</v>
      </c>
      <c r="N2" s="40" t="b">
        <v>1</v>
      </c>
      <c r="O2" s="40" t="s">
        <v>125</v>
      </c>
      <c r="P2" s="41">
        <v>20</v>
      </c>
      <c r="Q2" s="41" t="b">
        <v>0</v>
      </c>
      <c r="R2" s="41"/>
      <c r="S2" s="41" t="b">
        <v>1</v>
      </c>
      <c r="T2" s="41">
        <v>1000</v>
      </c>
      <c r="U2" s="41">
        <v>750</v>
      </c>
      <c r="V2" s="41">
        <v>30</v>
      </c>
      <c r="W2" s="41">
        <v>30</v>
      </c>
      <c r="X2" s="40"/>
      <c r="Y2" s="40"/>
      <c r="Z2" s="40"/>
      <c r="AA2" s="40"/>
      <c r="AB2" s="40"/>
      <c r="AC2" s="40"/>
      <c r="AD2" s="40"/>
      <c r="AE2" s="40" t="s">
        <v>102</v>
      </c>
      <c r="AF2" s="41"/>
      <c r="AG2" s="41"/>
      <c r="AH2" s="41"/>
      <c r="AI2" s="40"/>
      <c r="AJ2" s="41"/>
      <c r="AK2" s="41"/>
      <c r="AL2" s="41"/>
      <c r="AM2" s="41">
        <v>0.1</v>
      </c>
      <c r="AN2" s="41"/>
      <c r="AO2" s="41"/>
      <c r="AP2" s="41"/>
      <c r="AQ2" s="41"/>
      <c r="AR2" s="41"/>
      <c r="AS2" s="40"/>
      <c r="AT2" s="40"/>
      <c r="AU2" s="41"/>
      <c r="AV2" s="41"/>
      <c r="AW2" s="41"/>
      <c r="AX2" s="44"/>
    </row>
    <row r="3" spans="1:50" x14ac:dyDescent="0.3">
      <c r="A3" s="39"/>
      <c r="B3" s="40"/>
      <c r="C3" s="40"/>
      <c r="D3" s="40"/>
      <c r="E3" s="40"/>
      <c r="F3" s="40"/>
      <c r="G3" s="40"/>
      <c r="H3" s="41"/>
      <c r="I3" s="42"/>
      <c r="J3" s="43"/>
      <c r="K3" s="42"/>
      <c r="L3" s="41"/>
      <c r="M3" s="40"/>
      <c r="N3" s="40"/>
      <c r="O3" s="40"/>
      <c r="P3" s="41"/>
      <c r="Q3" s="41"/>
      <c r="R3" s="41"/>
      <c r="S3" s="41"/>
      <c r="T3" s="40"/>
      <c r="U3" s="41"/>
      <c r="V3" s="41"/>
      <c r="W3" s="41"/>
      <c r="X3" s="40"/>
      <c r="Y3" s="40"/>
      <c r="Z3" s="40"/>
      <c r="AA3" s="40"/>
      <c r="AB3" s="40"/>
      <c r="AC3" s="40"/>
      <c r="AD3" s="40"/>
      <c r="AE3" s="40"/>
      <c r="AF3" s="41"/>
      <c r="AG3" s="41"/>
      <c r="AH3" s="41"/>
      <c r="AI3" s="40"/>
      <c r="AJ3" s="41"/>
      <c r="AK3" s="41"/>
      <c r="AL3" s="41"/>
      <c r="AM3" s="40"/>
      <c r="AN3" s="41"/>
      <c r="AO3" s="41"/>
      <c r="AP3" s="41"/>
      <c r="AQ3" s="41"/>
      <c r="AR3" s="41"/>
      <c r="AS3" s="40"/>
      <c r="AT3" s="40"/>
      <c r="AU3" s="41"/>
      <c r="AV3" s="41"/>
      <c r="AW3" s="41"/>
      <c r="AX3" s="44"/>
    </row>
    <row r="4" spans="1:50" x14ac:dyDescent="0.3">
      <c r="A4" s="25" t="s">
        <v>42</v>
      </c>
      <c r="B4" s="26"/>
      <c r="C4" s="26"/>
      <c r="D4" s="26"/>
      <c r="E4" s="26"/>
      <c r="F4" s="45"/>
      <c r="G4" s="45"/>
      <c r="H4" s="45"/>
      <c r="I4" s="46"/>
      <c r="J4" s="26"/>
      <c r="K4" s="26"/>
      <c r="L4" s="47"/>
      <c r="M4" s="26"/>
      <c r="N4" s="26"/>
      <c r="O4" s="26"/>
      <c r="P4" s="26"/>
      <c r="Q4" s="48"/>
      <c r="R4" s="48"/>
      <c r="S4" s="26"/>
      <c r="T4" s="26"/>
      <c r="U4" s="26"/>
      <c r="V4" s="26"/>
      <c r="W4" s="48"/>
      <c r="X4" s="48"/>
      <c r="Y4" s="48"/>
      <c r="Z4" s="48"/>
      <c r="AA4" s="48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</row>
    <row r="5" spans="1:50" x14ac:dyDescent="0.3">
      <c r="AE5" s="2"/>
    </row>
    <row r="6" spans="1:50" x14ac:dyDescent="0.3">
      <c r="A6" s="38" t="s">
        <v>43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80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</row>
  </sheetData>
  <dataValidations count="1">
    <dataValidation type="list" allowBlank="1" showInputMessage="1" showErrorMessage="1" sqref="AA3:AD4 X2:AD2 AA5:AE6 D2:H1048576 N2:N1048576 S2:S1048576 Q2:Q1048576" xr:uid="{00000000-0002-0000-0200-000000000000}">
      <formula1>"TRUE, FALSE"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56EEFDE-8C63-48F2-A294-3EAFFE1CD186}">
          <x14:formula1>
            <xm:f>setup!$O$2:$O$3</xm:f>
          </x14:formula1>
          <xm:sqref>AG2:AG1048576 AE2:AE1048576</xm:sqref>
        </x14:dataValidation>
        <x14:dataValidation type="list" allowBlank="1" showInputMessage="1" showErrorMessage="1" xr:uid="{C0C9DE4E-FC9B-4DA3-BC02-2E1C7B66B969}">
          <x14:formula1>
            <xm:f>solution_paths!$A:$A</xm:f>
          </x14:formula1>
          <xm:sqref>C2:C1048576</xm:sqref>
        </x14:dataValidation>
        <x14:dataValidation type="list" allowBlank="1" showInputMessage="1" showErrorMessage="1" xr:uid="{3494C082-EE8B-49B8-A7F2-667D00F75D7F}">
          <x14:formula1>
            <xm:f>setup!$S$2:$S$4</xm:f>
          </x14:formula1>
          <xm:sqref>O2:O1048576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D0C7-FEC8-4A7B-9B48-1BCF85A28A1F}">
  <sheetPr>
    <pageSetUpPr autoPageBreaks="0"/>
  </sheetPr>
  <dimension ref="A1:E163"/>
  <sheetViews>
    <sheetView zoomScale="145" zoomScaleNormal="145" workbookViewId="0">
      <selection activeCell="B7" sqref="B7"/>
    </sheetView>
  </sheetViews>
  <sheetFormatPr defaultRowHeight="12" x14ac:dyDescent="0.25"/>
  <cols>
    <col min="1" max="1" width="24.77734375" style="76" bestFit="1" customWidth="1"/>
    <col min="2" max="2" width="13" style="79" bestFit="1" customWidth="1"/>
    <col min="3" max="3" width="6.44140625" style="76" bestFit="1" customWidth="1"/>
    <col min="4" max="4" width="36" style="79" customWidth="1"/>
    <col min="5" max="5" width="8.88671875" style="76" bestFit="1" customWidth="1"/>
    <col min="6" max="6" width="8.109375" style="76" bestFit="1" customWidth="1"/>
    <col min="7" max="16384" width="8.88671875" style="76"/>
  </cols>
  <sheetData>
    <row r="1" spans="1:4" x14ac:dyDescent="0.25">
      <c r="A1" s="87" t="s">
        <v>295</v>
      </c>
      <c r="B1" s="87"/>
      <c r="C1" s="87"/>
      <c r="D1" s="87"/>
    </row>
    <row r="2" spans="1:4" x14ac:dyDescent="0.25">
      <c r="A2" s="72" t="s">
        <v>244</v>
      </c>
      <c r="B2" s="73" t="s">
        <v>245</v>
      </c>
      <c r="C2" s="72" t="s">
        <v>246</v>
      </c>
      <c r="D2" s="73" t="s">
        <v>403</v>
      </c>
    </row>
    <row r="3" spans="1:4" x14ac:dyDescent="0.25">
      <c r="A3" s="72" t="s">
        <v>1</v>
      </c>
      <c r="B3" s="74" t="s">
        <v>373</v>
      </c>
      <c r="C3" s="72" t="s">
        <v>248</v>
      </c>
      <c r="D3" s="75" t="s">
        <v>250</v>
      </c>
    </row>
    <row r="4" spans="1:4" x14ac:dyDescent="0.25">
      <c r="A4" s="72" t="s">
        <v>0</v>
      </c>
      <c r="B4" s="73" t="s">
        <v>249</v>
      </c>
      <c r="C4" s="72" t="s">
        <v>248</v>
      </c>
      <c r="D4" s="75" t="s">
        <v>293</v>
      </c>
    </row>
    <row r="5" spans="1:4" x14ac:dyDescent="0.25">
      <c r="A5" s="72" t="s">
        <v>3</v>
      </c>
      <c r="B5" s="73" t="b">
        <v>0</v>
      </c>
      <c r="C5" s="72" t="s">
        <v>251</v>
      </c>
      <c r="D5" s="75" t="s">
        <v>377</v>
      </c>
    </row>
    <row r="6" spans="1:4" x14ac:dyDescent="0.25">
      <c r="A6" s="72" t="s">
        <v>5</v>
      </c>
      <c r="B6" s="73">
        <v>4</v>
      </c>
      <c r="C6" s="72" t="s">
        <v>252</v>
      </c>
      <c r="D6" s="75" t="s">
        <v>294</v>
      </c>
    </row>
    <row r="7" spans="1:4" ht="24" x14ac:dyDescent="0.25">
      <c r="A7" s="72" t="s">
        <v>6</v>
      </c>
      <c r="B7" s="73" t="s">
        <v>253</v>
      </c>
      <c r="C7" s="72" t="s">
        <v>254</v>
      </c>
      <c r="D7" s="75" t="s">
        <v>321</v>
      </c>
    </row>
    <row r="8" spans="1:4" x14ac:dyDescent="0.25">
      <c r="A8" s="72" t="s">
        <v>7</v>
      </c>
      <c r="B8" s="73">
        <v>1</v>
      </c>
      <c r="C8" s="72" t="s">
        <v>255</v>
      </c>
      <c r="D8" s="75" t="s">
        <v>296</v>
      </c>
    </row>
    <row r="9" spans="1:4" x14ac:dyDescent="0.25">
      <c r="A9" s="72" t="s">
        <v>8</v>
      </c>
      <c r="B9" s="73">
        <v>5.0000000000000001E-3</v>
      </c>
      <c r="C9" s="72" t="s">
        <v>255</v>
      </c>
      <c r="D9" s="75" t="s">
        <v>315</v>
      </c>
    </row>
    <row r="10" spans="1:4" ht="36" x14ac:dyDescent="0.25">
      <c r="A10" s="72" t="s">
        <v>4</v>
      </c>
      <c r="B10" s="73" t="b">
        <v>1</v>
      </c>
      <c r="C10" s="72" t="s">
        <v>251</v>
      </c>
      <c r="D10" s="75" t="s">
        <v>337</v>
      </c>
    </row>
    <row r="11" spans="1:4" ht="24" x14ac:dyDescent="0.25">
      <c r="A11" s="72" t="s">
        <v>9</v>
      </c>
      <c r="B11" s="73" t="b">
        <v>0</v>
      </c>
      <c r="C11" s="72" t="s">
        <v>251</v>
      </c>
      <c r="D11" s="75" t="s">
        <v>297</v>
      </c>
    </row>
    <row r="12" spans="1:4" x14ac:dyDescent="0.25">
      <c r="A12" s="72" t="s">
        <v>10</v>
      </c>
      <c r="B12" s="73" t="s">
        <v>256</v>
      </c>
      <c r="C12" s="72" t="s">
        <v>248</v>
      </c>
      <c r="D12" s="75" t="s">
        <v>298</v>
      </c>
    </row>
    <row r="13" spans="1:4" x14ac:dyDescent="0.25">
      <c r="A13" s="72" t="s">
        <v>11</v>
      </c>
      <c r="B13" s="73" t="s">
        <v>257</v>
      </c>
      <c r="C13" s="72" t="s">
        <v>248</v>
      </c>
      <c r="D13" s="75" t="s">
        <v>299</v>
      </c>
    </row>
    <row r="14" spans="1:4" x14ac:dyDescent="0.25">
      <c r="A14" s="72" t="s">
        <v>12</v>
      </c>
      <c r="B14" s="73" t="s">
        <v>258</v>
      </c>
      <c r="C14" s="72" t="s">
        <v>248</v>
      </c>
      <c r="D14" s="75" t="s">
        <v>300</v>
      </c>
    </row>
    <row r="15" spans="1:4" x14ac:dyDescent="0.25">
      <c r="A15" s="72" t="s">
        <v>13</v>
      </c>
      <c r="B15" s="73" t="s">
        <v>259</v>
      </c>
      <c r="C15" s="72" t="s">
        <v>248</v>
      </c>
      <c r="D15" s="75" t="s">
        <v>301</v>
      </c>
    </row>
    <row r="16" spans="1:4" x14ac:dyDescent="0.25">
      <c r="A16" s="72" t="s">
        <v>14</v>
      </c>
      <c r="B16" s="73" t="s">
        <v>260</v>
      </c>
      <c r="C16" s="72" t="s">
        <v>248</v>
      </c>
      <c r="D16" s="75" t="s">
        <v>302</v>
      </c>
    </row>
    <row r="17" spans="1:4" x14ac:dyDescent="0.25">
      <c r="A17" s="72" t="s">
        <v>15</v>
      </c>
      <c r="B17" s="73" t="s">
        <v>261</v>
      </c>
      <c r="C17" s="72" t="s">
        <v>248</v>
      </c>
      <c r="D17" s="75" t="s">
        <v>303</v>
      </c>
    </row>
    <row r="18" spans="1:4" x14ac:dyDescent="0.25">
      <c r="A18" s="72" t="s">
        <v>16</v>
      </c>
      <c r="B18" s="73" t="b">
        <v>1</v>
      </c>
      <c r="C18" s="72" t="s">
        <v>251</v>
      </c>
      <c r="D18" s="75" t="s">
        <v>304</v>
      </c>
    </row>
    <row r="19" spans="1:4" x14ac:dyDescent="0.25">
      <c r="A19" s="72" t="s">
        <v>17</v>
      </c>
      <c r="B19" s="73" t="s">
        <v>262</v>
      </c>
      <c r="C19" s="72" t="s">
        <v>248</v>
      </c>
      <c r="D19" s="75" t="s">
        <v>305</v>
      </c>
    </row>
    <row r="20" spans="1:4" x14ac:dyDescent="0.25">
      <c r="A20" s="72" t="s">
        <v>18</v>
      </c>
      <c r="B20" s="73" t="s">
        <v>263</v>
      </c>
      <c r="C20" s="72" t="s">
        <v>248</v>
      </c>
      <c r="D20" s="75" t="s">
        <v>306</v>
      </c>
    </row>
    <row r="21" spans="1:4" ht="24" x14ac:dyDescent="0.25">
      <c r="A21" s="72" t="s">
        <v>19</v>
      </c>
      <c r="B21" s="73" t="s">
        <v>308</v>
      </c>
      <c r="C21" s="72" t="s">
        <v>255</v>
      </c>
      <c r="D21" s="75" t="s">
        <v>307</v>
      </c>
    </row>
    <row r="22" spans="1:4" x14ac:dyDescent="0.25">
      <c r="A22" s="72" t="s">
        <v>21</v>
      </c>
      <c r="B22" s="73" t="s">
        <v>264</v>
      </c>
      <c r="C22" s="72" t="s">
        <v>248</v>
      </c>
      <c r="D22" s="75" t="s">
        <v>309</v>
      </c>
    </row>
    <row r="23" spans="1:4" x14ac:dyDescent="0.25">
      <c r="A23" s="72" t="s">
        <v>22</v>
      </c>
      <c r="B23" s="73" t="s">
        <v>265</v>
      </c>
      <c r="C23" s="72" t="s">
        <v>248</v>
      </c>
      <c r="D23" s="75" t="s">
        <v>310</v>
      </c>
    </row>
    <row r="24" spans="1:4" x14ac:dyDescent="0.25">
      <c r="A24" s="72" t="s">
        <v>23</v>
      </c>
      <c r="B24" s="73" t="s">
        <v>253</v>
      </c>
      <c r="C24" s="72" t="s">
        <v>255</v>
      </c>
      <c r="D24" s="75" t="s">
        <v>311</v>
      </c>
    </row>
    <row r="25" spans="1:4" ht="24" x14ac:dyDescent="0.25">
      <c r="A25" s="72" t="s">
        <v>24</v>
      </c>
      <c r="B25" s="73">
        <v>2</v>
      </c>
      <c r="C25" s="72" t="s">
        <v>252</v>
      </c>
      <c r="D25" s="75" t="s">
        <v>312</v>
      </c>
    </row>
    <row r="26" spans="1:4" x14ac:dyDescent="0.25">
      <c r="A26" s="72" t="s">
        <v>25</v>
      </c>
      <c r="B26" s="73" t="s">
        <v>266</v>
      </c>
      <c r="C26" s="72" t="s">
        <v>248</v>
      </c>
      <c r="D26" s="75" t="s">
        <v>267</v>
      </c>
    </row>
    <row r="27" spans="1:4" x14ac:dyDescent="0.25">
      <c r="A27" s="72" t="s">
        <v>27</v>
      </c>
      <c r="B27" s="73">
        <v>1.2</v>
      </c>
      <c r="C27" s="72" t="s">
        <v>255</v>
      </c>
      <c r="D27" s="75" t="s">
        <v>268</v>
      </c>
    </row>
    <row r="28" spans="1:4" ht="36" x14ac:dyDescent="0.25">
      <c r="A28" s="72" t="s">
        <v>26</v>
      </c>
      <c r="B28" s="73" t="s">
        <v>253</v>
      </c>
      <c r="C28" s="72" t="s">
        <v>255</v>
      </c>
      <c r="D28" s="75" t="s">
        <v>360</v>
      </c>
    </row>
    <row r="29" spans="1:4" ht="24" x14ac:dyDescent="0.25">
      <c r="A29" s="72" t="s">
        <v>28</v>
      </c>
      <c r="B29" s="73" t="s">
        <v>253</v>
      </c>
      <c r="C29" s="72" t="s">
        <v>255</v>
      </c>
      <c r="D29" s="75" t="s">
        <v>319</v>
      </c>
    </row>
    <row r="30" spans="1:4" x14ac:dyDescent="0.25">
      <c r="A30" s="72" t="s">
        <v>29</v>
      </c>
      <c r="B30" s="73" t="s">
        <v>269</v>
      </c>
      <c r="C30" s="72" t="s">
        <v>248</v>
      </c>
      <c r="D30" s="75" t="s">
        <v>270</v>
      </c>
    </row>
    <row r="31" spans="1:4" x14ac:dyDescent="0.25">
      <c r="A31" s="72" t="s">
        <v>30</v>
      </c>
      <c r="B31" s="73">
        <v>12</v>
      </c>
      <c r="C31" s="72" t="s">
        <v>252</v>
      </c>
      <c r="D31" s="75" t="s">
        <v>313</v>
      </c>
    </row>
    <row r="32" spans="1:4" x14ac:dyDescent="0.25">
      <c r="A32" s="72" t="s">
        <v>31</v>
      </c>
      <c r="B32" s="73" t="s">
        <v>40</v>
      </c>
      <c r="C32" s="72" t="s">
        <v>248</v>
      </c>
      <c r="D32" s="75" t="s">
        <v>314</v>
      </c>
    </row>
    <row r="33" spans="1:4" x14ac:dyDescent="0.25">
      <c r="A33" s="72" t="s">
        <v>33</v>
      </c>
      <c r="B33" s="73">
        <v>2.0000000000000002E-5</v>
      </c>
      <c r="C33" s="72" t="s">
        <v>255</v>
      </c>
      <c r="D33" s="75" t="s">
        <v>316</v>
      </c>
    </row>
    <row r="34" spans="1:4" x14ac:dyDescent="0.25">
      <c r="A34" s="72" t="s">
        <v>32</v>
      </c>
      <c r="B34" s="73">
        <v>20</v>
      </c>
      <c r="C34" s="72" t="s">
        <v>252</v>
      </c>
      <c r="D34" s="75" t="s">
        <v>317</v>
      </c>
    </row>
    <row r="35" spans="1:4" x14ac:dyDescent="0.25">
      <c r="A35" s="72" t="s">
        <v>34</v>
      </c>
      <c r="B35" s="73">
        <v>1.2</v>
      </c>
      <c r="C35" s="72" t="s">
        <v>255</v>
      </c>
      <c r="D35" s="75" t="s">
        <v>271</v>
      </c>
    </row>
    <row r="36" spans="1:4" ht="24" x14ac:dyDescent="0.25">
      <c r="A36" s="72" t="s">
        <v>35</v>
      </c>
      <c r="B36" s="73" t="s">
        <v>187</v>
      </c>
      <c r="C36" s="72" t="s">
        <v>248</v>
      </c>
      <c r="D36" s="75" t="s">
        <v>318</v>
      </c>
    </row>
    <row r="37" spans="1:4" ht="24" x14ac:dyDescent="0.25">
      <c r="A37" s="72" t="s">
        <v>36</v>
      </c>
      <c r="B37" s="73" t="s">
        <v>253</v>
      </c>
      <c r="C37" s="72" t="s">
        <v>255</v>
      </c>
      <c r="D37" s="75" t="s">
        <v>320</v>
      </c>
    </row>
    <row r="38" spans="1:4" x14ac:dyDescent="0.25">
      <c r="A38" s="72" t="s">
        <v>37</v>
      </c>
      <c r="B38" s="73">
        <v>1.2</v>
      </c>
      <c r="C38" s="72" t="s">
        <v>255</v>
      </c>
      <c r="D38" s="75" t="s">
        <v>272</v>
      </c>
    </row>
    <row r="39" spans="1:4" x14ac:dyDescent="0.25">
      <c r="A39" s="72" t="s">
        <v>38</v>
      </c>
      <c r="B39" s="73" t="s">
        <v>41</v>
      </c>
      <c r="C39" s="72" t="s">
        <v>248</v>
      </c>
      <c r="D39" s="75" t="s">
        <v>273</v>
      </c>
    </row>
    <row r="41" spans="1:4" x14ac:dyDescent="0.25">
      <c r="A41" s="87" t="s">
        <v>339</v>
      </c>
      <c r="B41" s="87"/>
      <c r="C41" s="87"/>
      <c r="D41" s="87"/>
    </row>
    <row r="42" spans="1:4" x14ac:dyDescent="0.25">
      <c r="A42" s="72" t="s">
        <v>244</v>
      </c>
      <c r="B42" s="73" t="s">
        <v>245</v>
      </c>
      <c r="C42" s="72" t="s">
        <v>246</v>
      </c>
      <c r="D42" s="73" t="s">
        <v>247</v>
      </c>
    </row>
    <row r="43" spans="1:4" x14ac:dyDescent="0.25">
      <c r="A43" s="72" t="s">
        <v>1</v>
      </c>
      <c r="B43" s="74" t="s">
        <v>373</v>
      </c>
      <c r="C43" s="72" t="s">
        <v>248</v>
      </c>
      <c r="D43" s="75" t="s">
        <v>250</v>
      </c>
    </row>
    <row r="44" spans="1:4" x14ac:dyDescent="0.25">
      <c r="A44" s="72" t="s">
        <v>0</v>
      </c>
      <c r="B44" s="73" t="s">
        <v>249</v>
      </c>
      <c r="C44" s="72" t="s">
        <v>248</v>
      </c>
      <c r="D44" s="75" t="s">
        <v>287</v>
      </c>
    </row>
    <row r="45" spans="1:4" x14ac:dyDescent="0.25">
      <c r="A45" s="72" t="s">
        <v>3</v>
      </c>
      <c r="B45" s="73" t="b">
        <v>0</v>
      </c>
      <c r="C45" s="72" t="s">
        <v>251</v>
      </c>
      <c r="D45" s="75" t="s">
        <v>377</v>
      </c>
    </row>
    <row r="46" spans="1:4" x14ac:dyDescent="0.25">
      <c r="A46" s="72" t="s">
        <v>5</v>
      </c>
      <c r="B46" s="73">
        <v>4</v>
      </c>
      <c r="C46" s="72" t="s">
        <v>252</v>
      </c>
      <c r="D46" s="75" t="s">
        <v>294</v>
      </c>
    </row>
    <row r="47" spans="1:4" ht="24" x14ac:dyDescent="0.25">
      <c r="A47" s="72" t="s">
        <v>6</v>
      </c>
      <c r="B47" s="73" t="s">
        <v>253</v>
      </c>
      <c r="C47" s="72" t="s">
        <v>254</v>
      </c>
      <c r="D47" s="75" t="s">
        <v>321</v>
      </c>
    </row>
    <row r="48" spans="1:4" ht="36" x14ac:dyDescent="0.25">
      <c r="A48" s="72" t="s">
        <v>4</v>
      </c>
      <c r="B48" s="73" t="b">
        <v>1</v>
      </c>
      <c r="C48" s="72" t="s">
        <v>251</v>
      </c>
      <c r="D48" s="75" t="s">
        <v>338</v>
      </c>
    </row>
    <row r="49" spans="1:4" x14ac:dyDescent="0.25">
      <c r="A49" s="72" t="s">
        <v>274</v>
      </c>
      <c r="B49" s="73" t="b">
        <v>1</v>
      </c>
      <c r="C49" s="72" t="s">
        <v>251</v>
      </c>
      <c r="D49" s="75" t="s">
        <v>333</v>
      </c>
    </row>
    <row r="50" spans="1:4" x14ac:dyDescent="0.25">
      <c r="A50" s="72" t="s">
        <v>275</v>
      </c>
      <c r="B50" s="73" t="b">
        <v>1</v>
      </c>
      <c r="C50" s="72" t="s">
        <v>251</v>
      </c>
      <c r="D50" s="75" t="s">
        <v>334</v>
      </c>
    </row>
    <row r="51" spans="1:4" x14ac:dyDescent="0.25">
      <c r="A51" s="72" t="s">
        <v>58</v>
      </c>
      <c r="B51" s="73">
        <v>1.0000000000000001E-5</v>
      </c>
      <c r="C51" s="72" t="s">
        <v>255</v>
      </c>
      <c r="D51" s="75" t="s">
        <v>327</v>
      </c>
    </row>
    <row r="52" spans="1:4" x14ac:dyDescent="0.25">
      <c r="A52" s="72" t="s">
        <v>46</v>
      </c>
      <c r="B52" s="73">
        <v>0</v>
      </c>
      <c r="C52" s="72" t="s">
        <v>252</v>
      </c>
      <c r="D52" s="75" t="s">
        <v>325</v>
      </c>
    </row>
    <row r="53" spans="1:4" x14ac:dyDescent="0.25">
      <c r="A53" s="72" t="s">
        <v>48</v>
      </c>
      <c r="B53" s="73">
        <v>0.6</v>
      </c>
      <c r="C53" s="72" t="s">
        <v>255</v>
      </c>
      <c r="D53" s="75" t="s">
        <v>323</v>
      </c>
    </row>
    <row r="54" spans="1:4" x14ac:dyDescent="0.25">
      <c r="A54" s="72" t="s">
        <v>47</v>
      </c>
      <c r="B54" s="73">
        <v>0</v>
      </c>
      <c r="C54" s="72" t="s">
        <v>252</v>
      </c>
      <c r="D54" s="75" t="s">
        <v>324</v>
      </c>
    </row>
    <row r="55" spans="1:4" x14ac:dyDescent="0.25">
      <c r="A55" s="72" t="s">
        <v>7</v>
      </c>
      <c r="B55" s="73">
        <v>1</v>
      </c>
      <c r="C55" s="72" t="s">
        <v>255</v>
      </c>
      <c r="D55" s="75" t="s">
        <v>296</v>
      </c>
    </row>
    <row r="56" spans="1:4" ht="24" x14ac:dyDescent="0.25">
      <c r="A56" s="72" t="s">
        <v>49</v>
      </c>
      <c r="B56" s="73">
        <v>0.1</v>
      </c>
      <c r="C56" s="72" t="s">
        <v>255</v>
      </c>
      <c r="D56" s="75" t="s">
        <v>326</v>
      </c>
    </row>
    <row r="57" spans="1:4" x14ac:dyDescent="0.25">
      <c r="A57" s="72" t="s">
        <v>60</v>
      </c>
      <c r="B57" s="73">
        <v>9.9999999999999995E-8</v>
      </c>
      <c r="C57" s="72" t="s">
        <v>255</v>
      </c>
      <c r="D57" s="75" t="s">
        <v>322</v>
      </c>
    </row>
    <row r="58" spans="1:4" x14ac:dyDescent="0.25">
      <c r="A58" s="72" t="s">
        <v>59</v>
      </c>
      <c r="B58" s="73" t="b">
        <v>0</v>
      </c>
      <c r="C58" s="72" t="s">
        <v>251</v>
      </c>
      <c r="D58" s="75" t="s">
        <v>335</v>
      </c>
    </row>
    <row r="59" spans="1:4" x14ac:dyDescent="0.25">
      <c r="A59" s="72" t="s">
        <v>57</v>
      </c>
      <c r="B59" s="73" t="b">
        <v>1</v>
      </c>
      <c r="C59" s="72" t="s">
        <v>251</v>
      </c>
      <c r="D59" s="75" t="s">
        <v>336</v>
      </c>
    </row>
    <row r="60" spans="1:4" x14ac:dyDescent="0.25">
      <c r="A60" s="72" t="s">
        <v>50</v>
      </c>
      <c r="B60" s="73">
        <v>300</v>
      </c>
      <c r="C60" s="72" t="s">
        <v>252</v>
      </c>
      <c r="D60" s="75" t="s">
        <v>328</v>
      </c>
    </row>
    <row r="61" spans="1:4" x14ac:dyDescent="0.25">
      <c r="A61" s="72" t="s">
        <v>62</v>
      </c>
      <c r="B61" s="73">
        <v>5</v>
      </c>
      <c r="C61" s="72" t="s">
        <v>255</v>
      </c>
      <c r="D61" s="75" t="s">
        <v>329</v>
      </c>
    </row>
    <row r="62" spans="1:4" x14ac:dyDescent="0.25">
      <c r="A62" s="72" t="s">
        <v>63</v>
      </c>
      <c r="B62" s="73" t="s">
        <v>127</v>
      </c>
      <c r="C62" s="72" t="s">
        <v>248</v>
      </c>
      <c r="D62" s="75" t="s">
        <v>276</v>
      </c>
    </row>
    <row r="63" spans="1:4" x14ac:dyDescent="0.25">
      <c r="A63" s="72" t="s">
        <v>64</v>
      </c>
      <c r="B63" s="73" t="s">
        <v>128</v>
      </c>
      <c r="C63" s="72" t="s">
        <v>248</v>
      </c>
      <c r="D63" s="75" t="s">
        <v>277</v>
      </c>
    </row>
    <row r="64" spans="1:4" x14ac:dyDescent="0.25">
      <c r="A64" s="72" t="s">
        <v>65</v>
      </c>
      <c r="B64" s="73">
        <v>0</v>
      </c>
      <c r="C64" s="72" t="s">
        <v>255</v>
      </c>
      <c r="D64" s="75" t="s">
        <v>330</v>
      </c>
    </row>
    <row r="65" spans="1:4" x14ac:dyDescent="0.25">
      <c r="A65" s="72" t="s">
        <v>55</v>
      </c>
      <c r="B65" s="73" t="s">
        <v>95</v>
      </c>
      <c r="C65" s="72" t="s">
        <v>248</v>
      </c>
      <c r="D65" s="75" t="s">
        <v>278</v>
      </c>
    </row>
    <row r="66" spans="1:4" x14ac:dyDescent="0.25">
      <c r="A66" s="72" t="s">
        <v>66</v>
      </c>
      <c r="B66" s="73" t="s">
        <v>180</v>
      </c>
      <c r="C66" s="72" t="s">
        <v>248</v>
      </c>
      <c r="D66" s="75" t="s">
        <v>279</v>
      </c>
    </row>
    <row r="67" spans="1:4" x14ac:dyDescent="0.25">
      <c r="A67" s="72" t="s">
        <v>67</v>
      </c>
      <c r="B67" s="73" t="s">
        <v>177</v>
      </c>
      <c r="C67" s="72" t="s">
        <v>248</v>
      </c>
      <c r="D67" s="75" t="s">
        <v>331</v>
      </c>
    </row>
    <row r="68" spans="1:4" x14ac:dyDescent="0.25">
      <c r="A68" s="72" t="s">
        <v>68</v>
      </c>
      <c r="B68" s="73" t="s">
        <v>97</v>
      </c>
      <c r="C68" s="72" t="s">
        <v>248</v>
      </c>
      <c r="D68" s="75" t="s">
        <v>404</v>
      </c>
    </row>
    <row r="69" spans="1:4" x14ac:dyDescent="0.25">
      <c r="A69" s="72" t="s">
        <v>83</v>
      </c>
      <c r="B69" s="73" t="b">
        <v>0</v>
      </c>
      <c r="C69" s="72" t="s">
        <v>251</v>
      </c>
      <c r="D69" s="75" t="s">
        <v>332</v>
      </c>
    </row>
    <row r="70" spans="1:4" x14ac:dyDescent="0.25">
      <c r="A70" s="72" t="s">
        <v>82</v>
      </c>
      <c r="B70" s="73" t="b">
        <v>0</v>
      </c>
      <c r="C70" s="72" t="s">
        <v>251</v>
      </c>
      <c r="D70" s="75" t="s">
        <v>340</v>
      </c>
    </row>
    <row r="71" spans="1:4" ht="24" x14ac:dyDescent="0.25">
      <c r="A71" s="72" t="s">
        <v>13</v>
      </c>
      <c r="B71" s="73" t="s">
        <v>259</v>
      </c>
      <c r="C71" s="72" t="s">
        <v>248</v>
      </c>
      <c r="D71" s="75" t="s">
        <v>343</v>
      </c>
    </row>
    <row r="72" spans="1:4" x14ac:dyDescent="0.25">
      <c r="A72" s="72" t="s">
        <v>10</v>
      </c>
      <c r="B72" s="73" t="s">
        <v>256</v>
      </c>
      <c r="C72" s="72" t="s">
        <v>248</v>
      </c>
      <c r="D72" s="75" t="s">
        <v>341</v>
      </c>
    </row>
    <row r="73" spans="1:4" x14ac:dyDescent="0.25">
      <c r="A73" s="72" t="s">
        <v>11</v>
      </c>
      <c r="B73" s="73" t="s">
        <v>257</v>
      </c>
      <c r="C73" s="72" t="s">
        <v>248</v>
      </c>
      <c r="D73" s="75" t="s">
        <v>342</v>
      </c>
    </row>
    <row r="74" spans="1:4" x14ac:dyDescent="0.25">
      <c r="A74" s="72" t="s">
        <v>280</v>
      </c>
      <c r="B74" s="73" t="s">
        <v>281</v>
      </c>
      <c r="C74" s="72" t="s">
        <v>248</v>
      </c>
      <c r="D74" s="75" t="s">
        <v>344</v>
      </c>
    </row>
    <row r="75" spans="1:4" ht="24" x14ac:dyDescent="0.25">
      <c r="A75" s="72" t="s">
        <v>70</v>
      </c>
      <c r="B75" s="73" t="s">
        <v>282</v>
      </c>
      <c r="C75" s="72" t="s">
        <v>248</v>
      </c>
      <c r="D75" s="75" t="s">
        <v>283</v>
      </c>
    </row>
    <row r="76" spans="1:4" x14ac:dyDescent="0.25">
      <c r="A76" s="72" t="s">
        <v>71</v>
      </c>
      <c r="B76" s="73">
        <v>1</v>
      </c>
      <c r="C76" s="72" t="s">
        <v>252</v>
      </c>
      <c r="D76" s="75" t="s">
        <v>284</v>
      </c>
    </row>
    <row r="77" spans="1:4" x14ac:dyDescent="0.25">
      <c r="A77" s="72" t="s">
        <v>72</v>
      </c>
      <c r="B77" s="73">
        <v>1</v>
      </c>
      <c r="C77" s="72" t="s">
        <v>252</v>
      </c>
      <c r="D77" s="75" t="s">
        <v>285</v>
      </c>
    </row>
    <row r="78" spans="1:4" x14ac:dyDescent="0.25">
      <c r="A78" s="72" t="s">
        <v>73</v>
      </c>
      <c r="B78" s="73" t="s">
        <v>100</v>
      </c>
      <c r="C78" s="72" t="s">
        <v>248</v>
      </c>
      <c r="D78" s="75" t="s">
        <v>345</v>
      </c>
    </row>
    <row r="79" spans="1:4" ht="24" x14ac:dyDescent="0.25">
      <c r="A79" s="72" t="s">
        <v>74</v>
      </c>
      <c r="B79" s="73" t="s">
        <v>160</v>
      </c>
      <c r="C79" s="72" t="s">
        <v>248</v>
      </c>
      <c r="D79" s="75" t="s">
        <v>286</v>
      </c>
    </row>
    <row r="80" spans="1:4" ht="24" x14ac:dyDescent="0.25">
      <c r="A80" s="72" t="s">
        <v>75</v>
      </c>
      <c r="B80" s="73" t="s">
        <v>150</v>
      </c>
      <c r="C80" s="72" t="s">
        <v>248</v>
      </c>
      <c r="D80" s="75" t="s">
        <v>346</v>
      </c>
    </row>
    <row r="81" spans="1:4" ht="24" x14ac:dyDescent="0.25">
      <c r="A81" s="72" t="s">
        <v>76</v>
      </c>
      <c r="B81" s="73" t="s">
        <v>150</v>
      </c>
      <c r="C81" s="72" t="s">
        <v>248</v>
      </c>
      <c r="D81" s="75" t="s">
        <v>347</v>
      </c>
    </row>
    <row r="82" spans="1:4" ht="24" x14ac:dyDescent="0.25">
      <c r="A82" s="72" t="s">
        <v>77</v>
      </c>
      <c r="B82" s="73" t="s">
        <v>150</v>
      </c>
      <c r="C82" s="72" t="s">
        <v>248</v>
      </c>
      <c r="D82" s="75" t="s">
        <v>348</v>
      </c>
    </row>
    <row r="83" spans="1:4" x14ac:dyDescent="0.25">
      <c r="A83" s="72" t="s">
        <v>78</v>
      </c>
      <c r="B83" s="73" t="s">
        <v>141</v>
      </c>
      <c r="C83" s="72" t="s">
        <v>248</v>
      </c>
      <c r="D83" s="75" t="s">
        <v>349</v>
      </c>
    </row>
    <row r="84" spans="1:4" ht="24" x14ac:dyDescent="0.25">
      <c r="A84" s="72" t="s">
        <v>79</v>
      </c>
      <c r="B84" s="73" t="s">
        <v>150</v>
      </c>
      <c r="C84" s="72" t="s">
        <v>248</v>
      </c>
      <c r="D84" s="75" t="s">
        <v>350</v>
      </c>
    </row>
    <row r="85" spans="1:4" ht="24" x14ac:dyDescent="0.25">
      <c r="A85" s="72" t="s">
        <v>80</v>
      </c>
      <c r="B85" s="73" t="s">
        <v>150</v>
      </c>
      <c r="C85" s="72" t="s">
        <v>248</v>
      </c>
      <c r="D85" s="75" t="s">
        <v>351</v>
      </c>
    </row>
    <row r="86" spans="1:4" ht="24" x14ac:dyDescent="0.25">
      <c r="A86" s="72" t="s">
        <v>81</v>
      </c>
      <c r="B86" s="73" t="s">
        <v>150</v>
      </c>
      <c r="C86" s="72" t="s">
        <v>248</v>
      </c>
      <c r="D86" s="75" t="s">
        <v>352</v>
      </c>
    </row>
    <row r="87" spans="1:4" x14ac:dyDescent="0.25">
      <c r="A87" s="72" t="s">
        <v>61</v>
      </c>
      <c r="B87" s="73" t="s">
        <v>102</v>
      </c>
      <c r="C87" s="72" t="s">
        <v>248</v>
      </c>
      <c r="D87" s="75" t="s">
        <v>353</v>
      </c>
    </row>
    <row r="88" spans="1:4" x14ac:dyDescent="0.25">
      <c r="A88" s="72" t="s">
        <v>56</v>
      </c>
      <c r="B88" s="73" t="b">
        <v>1</v>
      </c>
      <c r="C88" s="72" t="s">
        <v>251</v>
      </c>
      <c r="D88" s="75" t="s">
        <v>354</v>
      </c>
    </row>
    <row r="89" spans="1:4" x14ac:dyDescent="0.25">
      <c r="A89" s="72" t="s">
        <v>84</v>
      </c>
      <c r="B89" s="73" t="b">
        <v>0</v>
      </c>
      <c r="C89" s="72" t="s">
        <v>251</v>
      </c>
      <c r="D89" s="75" t="s">
        <v>355</v>
      </c>
    </row>
    <row r="90" spans="1:4" ht="24" x14ac:dyDescent="0.25">
      <c r="A90" s="72" t="s">
        <v>85</v>
      </c>
      <c r="B90" s="73">
        <v>0.75</v>
      </c>
      <c r="C90" s="72" t="s">
        <v>255</v>
      </c>
      <c r="D90" s="75" t="s">
        <v>356</v>
      </c>
    </row>
    <row r="91" spans="1:4" x14ac:dyDescent="0.25">
      <c r="A91" s="72" t="s">
        <v>87</v>
      </c>
      <c r="B91" s="73">
        <v>200</v>
      </c>
      <c r="C91" s="72" t="s">
        <v>252</v>
      </c>
      <c r="D91" s="75" t="s">
        <v>357</v>
      </c>
    </row>
    <row r="92" spans="1:4" x14ac:dyDescent="0.25">
      <c r="A92" s="72" t="s">
        <v>88</v>
      </c>
      <c r="B92" s="73" t="b">
        <v>0</v>
      </c>
      <c r="C92" s="72" t="s">
        <v>251</v>
      </c>
      <c r="D92" s="75" t="s">
        <v>358</v>
      </c>
    </row>
    <row r="93" spans="1:4" x14ac:dyDescent="0.25">
      <c r="A93" s="72" t="s">
        <v>14</v>
      </c>
      <c r="B93" s="73" t="s">
        <v>260</v>
      </c>
      <c r="C93" s="72" t="s">
        <v>248</v>
      </c>
      <c r="D93" s="75" t="s">
        <v>302</v>
      </c>
    </row>
    <row r="94" spans="1:4" x14ac:dyDescent="0.25">
      <c r="A94" s="72" t="s">
        <v>69</v>
      </c>
      <c r="B94" s="73" t="s">
        <v>288</v>
      </c>
      <c r="C94" s="72" t="s">
        <v>248</v>
      </c>
      <c r="D94" s="75" t="s">
        <v>359</v>
      </c>
    </row>
    <row r="95" spans="1:4" ht="24" x14ac:dyDescent="0.25">
      <c r="A95" s="72" t="s">
        <v>93</v>
      </c>
      <c r="B95" s="73" t="b">
        <v>0</v>
      </c>
      <c r="C95" s="72" t="s">
        <v>251</v>
      </c>
      <c r="D95" s="75" t="s">
        <v>361</v>
      </c>
    </row>
    <row r="96" spans="1:4" x14ac:dyDescent="0.25">
      <c r="A96" s="72" t="s">
        <v>94</v>
      </c>
      <c r="B96" s="73" t="s">
        <v>98</v>
      </c>
      <c r="C96" s="72" t="s">
        <v>248</v>
      </c>
      <c r="D96" s="75" t="s">
        <v>362</v>
      </c>
    </row>
    <row r="97" spans="1:4" x14ac:dyDescent="0.25">
      <c r="A97" s="72" t="s">
        <v>89</v>
      </c>
      <c r="B97" s="73" t="b">
        <v>1</v>
      </c>
      <c r="C97" s="72" t="s">
        <v>251</v>
      </c>
      <c r="D97" s="75" t="s">
        <v>363</v>
      </c>
    </row>
    <row r="98" spans="1:4" x14ac:dyDescent="0.25">
      <c r="A98" s="72" t="s">
        <v>90</v>
      </c>
      <c r="B98" s="73" t="b">
        <v>1</v>
      </c>
      <c r="C98" s="72" t="s">
        <v>251</v>
      </c>
      <c r="D98" s="75" t="s">
        <v>364</v>
      </c>
    </row>
    <row r="99" spans="1:4" x14ac:dyDescent="0.25">
      <c r="A99" s="72" t="s">
        <v>91</v>
      </c>
      <c r="B99" s="73" t="b">
        <v>1</v>
      </c>
      <c r="C99" s="72" t="s">
        <v>251</v>
      </c>
      <c r="D99" s="75" t="s">
        <v>365</v>
      </c>
    </row>
    <row r="100" spans="1:4" x14ac:dyDescent="0.25">
      <c r="A100" s="72" t="s">
        <v>92</v>
      </c>
      <c r="B100" s="73" t="b">
        <v>1</v>
      </c>
      <c r="C100" s="72" t="s">
        <v>251</v>
      </c>
      <c r="D100" s="75" t="s">
        <v>366</v>
      </c>
    </row>
    <row r="101" spans="1:4" ht="24" x14ac:dyDescent="0.25">
      <c r="A101" s="72" t="s">
        <v>51</v>
      </c>
      <c r="B101" s="73" t="b">
        <v>0</v>
      </c>
      <c r="C101" s="72" t="s">
        <v>251</v>
      </c>
      <c r="D101" s="75" t="s">
        <v>367</v>
      </c>
    </row>
    <row r="102" spans="1:4" x14ac:dyDescent="0.25">
      <c r="A102" s="72" t="s">
        <v>133</v>
      </c>
      <c r="B102" s="73" t="s">
        <v>164</v>
      </c>
      <c r="C102" s="72" t="s">
        <v>248</v>
      </c>
      <c r="D102" s="75" t="s">
        <v>289</v>
      </c>
    </row>
    <row r="103" spans="1:4" x14ac:dyDescent="0.25">
      <c r="A103" s="72" t="s">
        <v>52</v>
      </c>
      <c r="B103" s="73">
        <v>10</v>
      </c>
      <c r="C103" s="72" t="s">
        <v>252</v>
      </c>
      <c r="D103" s="75" t="s">
        <v>368</v>
      </c>
    </row>
    <row r="104" spans="1:4" x14ac:dyDescent="0.25">
      <c r="A104" s="72" t="s">
        <v>53</v>
      </c>
      <c r="B104" s="73">
        <v>1E-4</v>
      </c>
      <c r="C104" s="72" t="s">
        <v>255</v>
      </c>
      <c r="D104" s="75" t="s">
        <v>369</v>
      </c>
    </row>
    <row r="105" spans="1:4" x14ac:dyDescent="0.25">
      <c r="A105" s="72" t="s">
        <v>54</v>
      </c>
      <c r="B105" s="73">
        <v>20</v>
      </c>
      <c r="C105" s="72" t="s">
        <v>252</v>
      </c>
      <c r="D105" s="75" t="s">
        <v>370</v>
      </c>
    </row>
    <row r="106" spans="1:4" ht="36" x14ac:dyDescent="0.25">
      <c r="A106" s="72" t="s">
        <v>45</v>
      </c>
      <c r="B106" s="73" t="b">
        <v>0</v>
      </c>
      <c r="C106" s="72" t="s">
        <v>251</v>
      </c>
      <c r="D106" s="75" t="s">
        <v>371</v>
      </c>
    </row>
    <row r="107" spans="1:4" x14ac:dyDescent="0.25">
      <c r="A107" s="72" t="s">
        <v>86</v>
      </c>
      <c r="B107" s="73">
        <v>0.75</v>
      </c>
      <c r="C107" s="72" t="s">
        <v>255</v>
      </c>
      <c r="D107" s="75" t="s">
        <v>372</v>
      </c>
    </row>
    <row r="109" spans="1:4" x14ac:dyDescent="0.25">
      <c r="A109" s="87" t="s">
        <v>402</v>
      </c>
      <c r="B109" s="87"/>
      <c r="C109" s="87"/>
      <c r="D109" s="87"/>
    </row>
    <row r="110" spans="1:4" x14ac:dyDescent="0.25">
      <c r="A110" s="72" t="s">
        <v>244</v>
      </c>
      <c r="B110" s="73" t="s">
        <v>245</v>
      </c>
      <c r="C110" s="72" t="s">
        <v>246</v>
      </c>
      <c r="D110" s="73" t="s">
        <v>247</v>
      </c>
    </row>
    <row r="111" spans="1:4" x14ac:dyDescent="0.25">
      <c r="A111" s="72" t="s">
        <v>1</v>
      </c>
      <c r="B111" s="74" t="s">
        <v>373</v>
      </c>
      <c r="C111" s="72" t="s">
        <v>248</v>
      </c>
      <c r="D111" s="77" t="s">
        <v>250</v>
      </c>
    </row>
    <row r="112" spans="1:4" x14ac:dyDescent="0.25">
      <c r="A112" s="72" t="s">
        <v>0</v>
      </c>
      <c r="B112" s="73" t="s">
        <v>249</v>
      </c>
      <c r="C112" s="72" t="s">
        <v>248</v>
      </c>
      <c r="D112" s="77" t="s">
        <v>287</v>
      </c>
    </row>
    <row r="113" spans="1:4" ht="24" x14ac:dyDescent="0.25">
      <c r="A113" s="72" t="s">
        <v>93</v>
      </c>
      <c r="B113" s="73" t="b">
        <v>0</v>
      </c>
      <c r="C113" s="72" t="s">
        <v>251</v>
      </c>
      <c r="D113" s="75" t="s">
        <v>361</v>
      </c>
    </row>
    <row r="114" spans="1:4" x14ac:dyDescent="0.25">
      <c r="A114" s="72" t="s">
        <v>94</v>
      </c>
      <c r="B114" s="73" t="s">
        <v>98</v>
      </c>
      <c r="C114" s="72" t="s">
        <v>248</v>
      </c>
      <c r="D114" s="75" t="s">
        <v>362</v>
      </c>
    </row>
    <row r="115" spans="1:4" ht="24" x14ac:dyDescent="0.25">
      <c r="A115" s="72" t="s">
        <v>106</v>
      </c>
      <c r="B115" s="73" t="b">
        <v>1</v>
      </c>
      <c r="C115" s="72" t="s">
        <v>251</v>
      </c>
      <c r="D115" s="77" t="s">
        <v>374</v>
      </c>
    </row>
    <row r="116" spans="1:4" x14ac:dyDescent="0.25">
      <c r="A116" s="72" t="s">
        <v>51</v>
      </c>
      <c r="B116" s="73" t="b">
        <v>0</v>
      </c>
      <c r="C116" s="72" t="s">
        <v>251</v>
      </c>
      <c r="D116" s="77" t="s">
        <v>375</v>
      </c>
    </row>
    <row r="117" spans="1:4" ht="24" x14ac:dyDescent="0.25">
      <c r="A117" s="72" t="s">
        <v>55</v>
      </c>
      <c r="B117" s="73" t="s">
        <v>95</v>
      </c>
      <c r="C117" s="72" t="s">
        <v>248</v>
      </c>
      <c r="D117" s="77" t="s">
        <v>376</v>
      </c>
    </row>
    <row r="118" spans="1:4" ht="24" x14ac:dyDescent="0.25">
      <c r="A118" s="72" t="s">
        <v>67</v>
      </c>
      <c r="B118" s="73" t="s">
        <v>96</v>
      </c>
      <c r="C118" s="72" t="s">
        <v>248</v>
      </c>
      <c r="D118" s="77" t="s">
        <v>290</v>
      </c>
    </row>
    <row r="119" spans="1:4" x14ac:dyDescent="0.25">
      <c r="A119" s="72" t="s">
        <v>3</v>
      </c>
      <c r="B119" s="73" t="b">
        <v>1</v>
      </c>
      <c r="C119" s="72" t="s">
        <v>251</v>
      </c>
      <c r="D119" s="75" t="s">
        <v>377</v>
      </c>
    </row>
    <row r="120" spans="1:4" x14ac:dyDescent="0.25">
      <c r="A120" s="72" t="s">
        <v>5</v>
      </c>
      <c r="B120" s="73">
        <v>4</v>
      </c>
      <c r="C120" s="72" t="s">
        <v>252</v>
      </c>
      <c r="D120" s="75" t="s">
        <v>294</v>
      </c>
    </row>
    <row r="121" spans="1:4" x14ac:dyDescent="0.25">
      <c r="A121" s="72" t="s">
        <v>10</v>
      </c>
      <c r="B121" s="73" t="s">
        <v>256</v>
      </c>
      <c r="C121" s="72" t="s">
        <v>248</v>
      </c>
      <c r="D121" s="77" t="s">
        <v>341</v>
      </c>
    </row>
    <row r="122" spans="1:4" x14ac:dyDescent="0.25">
      <c r="A122" s="72" t="s">
        <v>11</v>
      </c>
      <c r="B122" s="73" t="s">
        <v>257</v>
      </c>
      <c r="C122" s="72" t="s">
        <v>248</v>
      </c>
      <c r="D122" s="77" t="s">
        <v>342</v>
      </c>
    </row>
    <row r="123" spans="1:4" x14ac:dyDescent="0.25">
      <c r="A123" s="72" t="s">
        <v>47</v>
      </c>
      <c r="B123" s="73">
        <v>0</v>
      </c>
      <c r="C123" s="72" t="s">
        <v>252</v>
      </c>
      <c r="D123" s="77" t="s">
        <v>324</v>
      </c>
    </row>
    <row r="124" spans="1:4" x14ac:dyDescent="0.25">
      <c r="A124" s="72" t="s">
        <v>60</v>
      </c>
      <c r="B124" s="73">
        <v>1.0000000000000001E-5</v>
      </c>
      <c r="C124" s="72" t="s">
        <v>255</v>
      </c>
      <c r="D124" s="75" t="s">
        <v>322</v>
      </c>
    </row>
    <row r="125" spans="1:4" x14ac:dyDescent="0.25">
      <c r="A125" s="72" t="s">
        <v>59</v>
      </c>
      <c r="B125" s="73" t="b">
        <v>1</v>
      </c>
      <c r="C125" s="72" t="s">
        <v>251</v>
      </c>
      <c r="D125" s="75" t="s">
        <v>335</v>
      </c>
    </row>
    <row r="126" spans="1:4" x14ac:dyDescent="0.25">
      <c r="A126" s="72" t="s">
        <v>113</v>
      </c>
      <c r="B126" s="73" t="b">
        <v>0</v>
      </c>
      <c r="C126" s="72" t="s">
        <v>251</v>
      </c>
      <c r="D126" s="77" t="s">
        <v>378</v>
      </c>
    </row>
    <row r="127" spans="1:4" ht="24" x14ac:dyDescent="0.25">
      <c r="A127" s="72" t="s">
        <v>114</v>
      </c>
      <c r="B127" s="73" t="b">
        <v>0</v>
      </c>
      <c r="C127" s="72" t="s">
        <v>251</v>
      </c>
      <c r="D127" s="77" t="s">
        <v>379</v>
      </c>
    </row>
    <row r="128" spans="1:4" ht="24" x14ac:dyDescent="0.25">
      <c r="A128" s="72" t="s">
        <v>115</v>
      </c>
      <c r="B128" s="73" t="b">
        <v>0</v>
      </c>
      <c r="C128" s="72" t="s">
        <v>251</v>
      </c>
      <c r="D128" s="77" t="s">
        <v>380</v>
      </c>
    </row>
    <row r="129" spans="1:5" x14ac:dyDescent="0.25">
      <c r="A129" s="72" t="s">
        <v>116</v>
      </c>
      <c r="B129" s="73" t="b">
        <v>0</v>
      </c>
      <c r="C129" s="72" t="s">
        <v>251</v>
      </c>
      <c r="D129" s="77" t="s">
        <v>381</v>
      </c>
    </row>
    <row r="130" spans="1:5" x14ac:dyDescent="0.25">
      <c r="A130" s="72" t="s">
        <v>108</v>
      </c>
      <c r="B130" s="73">
        <v>10</v>
      </c>
      <c r="C130" s="72" t="s">
        <v>252</v>
      </c>
      <c r="D130" s="77" t="s">
        <v>382</v>
      </c>
    </row>
    <row r="131" spans="1:5" x14ac:dyDescent="0.25">
      <c r="A131" s="72" t="s">
        <v>109</v>
      </c>
      <c r="B131" s="73" t="b">
        <v>1</v>
      </c>
      <c r="C131" s="72" t="s">
        <v>251</v>
      </c>
      <c r="D131" s="77" t="s">
        <v>383</v>
      </c>
      <c r="E131" s="72"/>
    </row>
    <row r="132" spans="1:5" x14ac:dyDescent="0.25">
      <c r="A132" s="72" t="s">
        <v>107</v>
      </c>
      <c r="B132" s="73" t="s">
        <v>125</v>
      </c>
      <c r="C132" s="72" t="s">
        <v>248</v>
      </c>
      <c r="D132" s="77" t="s">
        <v>384</v>
      </c>
    </row>
    <row r="133" spans="1:5" x14ac:dyDescent="0.25">
      <c r="A133" s="72" t="s">
        <v>48</v>
      </c>
      <c r="B133" s="73">
        <v>0.5</v>
      </c>
      <c r="C133" s="72" t="s">
        <v>255</v>
      </c>
      <c r="D133" s="75" t="s">
        <v>323</v>
      </c>
    </row>
    <row r="134" spans="1:5" x14ac:dyDescent="0.25">
      <c r="A134" s="72" t="s">
        <v>62</v>
      </c>
      <c r="B134" s="73">
        <v>5</v>
      </c>
      <c r="C134" s="72" t="s">
        <v>255</v>
      </c>
      <c r="D134" s="75" t="s">
        <v>329</v>
      </c>
    </row>
    <row r="135" spans="1:5" x14ac:dyDescent="0.25">
      <c r="A135" s="72" t="s">
        <v>53</v>
      </c>
      <c r="B135" s="73">
        <v>1E-3</v>
      </c>
      <c r="C135" s="72" t="s">
        <v>255</v>
      </c>
      <c r="D135" s="75" t="s">
        <v>369</v>
      </c>
    </row>
    <row r="136" spans="1:5" x14ac:dyDescent="0.25">
      <c r="A136" s="72" t="s">
        <v>52</v>
      </c>
      <c r="B136" s="73">
        <v>100</v>
      </c>
      <c r="C136" s="72" t="s">
        <v>252</v>
      </c>
      <c r="D136" s="78" t="s">
        <v>368</v>
      </c>
    </row>
    <row r="137" spans="1:5" x14ac:dyDescent="0.25">
      <c r="A137" s="72" t="s">
        <v>54</v>
      </c>
      <c r="B137" s="73">
        <v>20</v>
      </c>
      <c r="C137" s="72" t="s">
        <v>252</v>
      </c>
      <c r="D137" s="75" t="s">
        <v>370</v>
      </c>
    </row>
    <row r="138" spans="1:5" x14ac:dyDescent="0.25">
      <c r="A138" s="72" t="s">
        <v>50</v>
      </c>
      <c r="B138" s="73">
        <v>300</v>
      </c>
      <c r="C138" s="72" t="s">
        <v>252</v>
      </c>
      <c r="D138" s="77" t="s">
        <v>385</v>
      </c>
    </row>
    <row r="139" spans="1:5" ht="48" x14ac:dyDescent="0.25">
      <c r="A139" s="72" t="s">
        <v>103</v>
      </c>
      <c r="B139" s="73" t="b">
        <v>0</v>
      </c>
      <c r="C139" s="72" t="s">
        <v>251</v>
      </c>
      <c r="D139" s="77" t="s">
        <v>388</v>
      </c>
    </row>
    <row r="140" spans="1:5" ht="24" x14ac:dyDescent="0.25">
      <c r="A140" s="72" t="s">
        <v>121</v>
      </c>
      <c r="B140" s="73">
        <v>0.06</v>
      </c>
      <c r="C140" s="72" t="s">
        <v>255</v>
      </c>
      <c r="D140" s="77" t="s">
        <v>386</v>
      </c>
    </row>
    <row r="141" spans="1:5" ht="24" x14ac:dyDescent="0.25">
      <c r="A141" s="72" t="s">
        <v>104</v>
      </c>
      <c r="B141" s="73" t="b">
        <v>1</v>
      </c>
      <c r="C141" s="72" t="s">
        <v>251</v>
      </c>
      <c r="D141" s="77" t="s">
        <v>387</v>
      </c>
    </row>
    <row r="142" spans="1:5" x14ac:dyDescent="0.25">
      <c r="A142" s="72" t="s">
        <v>111</v>
      </c>
      <c r="B142" s="73">
        <v>20</v>
      </c>
      <c r="C142" s="72" t="s">
        <v>252</v>
      </c>
      <c r="D142" s="77" t="s">
        <v>389</v>
      </c>
    </row>
    <row r="143" spans="1:5" x14ac:dyDescent="0.25">
      <c r="A143" s="72" t="s">
        <v>112</v>
      </c>
      <c r="B143" s="73">
        <v>5</v>
      </c>
      <c r="C143" s="72" t="s">
        <v>252</v>
      </c>
      <c r="D143" s="77" t="s">
        <v>390</v>
      </c>
    </row>
    <row r="144" spans="1:5" x14ac:dyDescent="0.25">
      <c r="A144" s="72" t="s">
        <v>61</v>
      </c>
      <c r="B144" s="73" t="s">
        <v>99</v>
      </c>
      <c r="C144" s="72" t="s">
        <v>248</v>
      </c>
      <c r="D144" s="75" t="s">
        <v>353</v>
      </c>
    </row>
    <row r="145" spans="1:4" ht="24" x14ac:dyDescent="0.25">
      <c r="A145" s="72" t="s">
        <v>110</v>
      </c>
      <c r="B145" s="73">
        <v>200</v>
      </c>
      <c r="C145" s="72" t="s">
        <v>252</v>
      </c>
      <c r="D145" s="77" t="s">
        <v>391</v>
      </c>
    </row>
    <row r="146" spans="1:4" ht="36" x14ac:dyDescent="0.25">
      <c r="A146" s="72" t="s">
        <v>120</v>
      </c>
      <c r="B146" s="73" t="s">
        <v>253</v>
      </c>
      <c r="C146" s="72" t="s">
        <v>255</v>
      </c>
      <c r="D146" s="77" t="s">
        <v>392</v>
      </c>
    </row>
    <row r="147" spans="1:4" ht="36" x14ac:dyDescent="0.25">
      <c r="A147" s="72" t="s">
        <v>118</v>
      </c>
      <c r="B147" s="73" t="s">
        <v>253</v>
      </c>
      <c r="C147" s="72" t="s">
        <v>255</v>
      </c>
      <c r="D147" s="77" t="s">
        <v>393</v>
      </c>
    </row>
    <row r="148" spans="1:4" ht="24" x14ac:dyDescent="0.25">
      <c r="A148" s="72" t="s">
        <v>117</v>
      </c>
      <c r="B148" s="73">
        <v>10</v>
      </c>
      <c r="C148" s="72" t="s">
        <v>252</v>
      </c>
      <c r="D148" s="77" t="s">
        <v>394</v>
      </c>
    </row>
    <row r="149" spans="1:4" ht="24" x14ac:dyDescent="0.25">
      <c r="A149" s="72" t="s">
        <v>119</v>
      </c>
      <c r="B149" s="73">
        <v>20</v>
      </c>
      <c r="C149" s="72" t="s">
        <v>252</v>
      </c>
      <c r="D149" s="77" t="s">
        <v>395</v>
      </c>
    </row>
    <row r="150" spans="1:4" x14ac:dyDescent="0.25">
      <c r="A150" s="72" t="s">
        <v>13</v>
      </c>
      <c r="B150" s="73" t="s">
        <v>259</v>
      </c>
      <c r="C150" s="72" t="s">
        <v>248</v>
      </c>
      <c r="D150" s="77" t="s">
        <v>301</v>
      </c>
    </row>
    <row r="151" spans="1:4" ht="36" x14ac:dyDescent="0.25">
      <c r="A151" s="72" t="s">
        <v>4</v>
      </c>
      <c r="B151" s="73" t="b">
        <v>1</v>
      </c>
      <c r="C151" s="72" t="s">
        <v>251</v>
      </c>
      <c r="D151" s="75" t="s">
        <v>396</v>
      </c>
    </row>
    <row r="152" spans="1:4" x14ac:dyDescent="0.25">
      <c r="A152" s="72" t="s">
        <v>91</v>
      </c>
      <c r="B152" s="73" t="b">
        <v>1</v>
      </c>
      <c r="C152" s="72" t="s">
        <v>251</v>
      </c>
      <c r="D152" s="75" t="s">
        <v>365</v>
      </c>
    </row>
    <row r="153" spans="1:4" x14ac:dyDescent="0.25">
      <c r="A153" s="72" t="s">
        <v>92</v>
      </c>
      <c r="B153" s="73" t="b">
        <v>1</v>
      </c>
      <c r="C153" s="72" t="s">
        <v>251</v>
      </c>
      <c r="D153" s="75" t="s">
        <v>366</v>
      </c>
    </row>
    <row r="154" spans="1:4" x14ac:dyDescent="0.25">
      <c r="A154" s="72" t="s">
        <v>63</v>
      </c>
      <c r="B154" s="73" t="s">
        <v>127</v>
      </c>
      <c r="C154" s="72" t="s">
        <v>248</v>
      </c>
      <c r="D154" s="77" t="s">
        <v>291</v>
      </c>
    </row>
    <row r="155" spans="1:4" x14ac:dyDescent="0.25">
      <c r="A155" s="72" t="s">
        <v>64</v>
      </c>
      <c r="B155" s="73" t="s">
        <v>128</v>
      </c>
      <c r="C155" s="72" t="s">
        <v>248</v>
      </c>
      <c r="D155" s="77" t="s">
        <v>292</v>
      </c>
    </row>
    <row r="156" spans="1:4" x14ac:dyDescent="0.25">
      <c r="A156" s="72" t="s">
        <v>275</v>
      </c>
      <c r="B156" s="73" t="b">
        <v>1</v>
      </c>
      <c r="C156" s="72" t="s">
        <v>251</v>
      </c>
      <c r="D156" s="75" t="s">
        <v>333</v>
      </c>
    </row>
    <row r="157" spans="1:4" x14ac:dyDescent="0.25">
      <c r="A157" s="72" t="s">
        <v>274</v>
      </c>
      <c r="B157" s="73" t="b">
        <v>1</v>
      </c>
      <c r="C157" s="72" t="s">
        <v>251</v>
      </c>
      <c r="D157" s="75" t="s">
        <v>334</v>
      </c>
    </row>
    <row r="158" spans="1:4" ht="24" x14ac:dyDescent="0.25">
      <c r="A158" s="72" t="s">
        <v>123</v>
      </c>
      <c r="B158" s="73" t="b">
        <v>1</v>
      </c>
      <c r="C158" s="72" t="s">
        <v>251</v>
      </c>
      <c r="D158" s="77" t="s">
        <v>397</v>
      </c>
    </row>
    <row r="159" spans="1:4" x14ac:dyDescent="0.25">
      <c r="A159" s="72" t="s">
        <v>124</v>
      </c>
      <c r="B159" s="73">
        <v>100</v>
      </c>
      <c r="C159" s="72" t="s">
        <v>252</v>
      </c>
      <c r="D159" s="77" t="s">
        <v>398</v>
      </c>
    </row>
    <row r="160" spans="1:4" ht="24" x14ac:dyDescent="0.25">
      <c r="A160" s="72" t="s">
        <v>105</v>
      </c>
      <c r="B160" s="73" t="b">
        <v>0</v>
      </c>
      <c r="C160" s="72" t="s">
        <v>251</v>
      </c>
      <c r="D160" s="77" t="s">
        <v>399</v>
      </c>
    </row>
    <row r="161" spans="1:4" ht="24" x14ac:dyDescent="0.25">
      <c r="A161" s="72" t="s">
        <v>46</v>
      </c>
      <c r="B161" s="73">
        <v>0</v>
      </c>
      <c r="C161" s="72" t="s">
        <v>252</v>
      </c>
      <c r="D161" s="75" t="s">
        <v>400</v>
      </c>
    </row>
    <row r="162" spans="1:4" ht="24" x14ac:dyDescent="0.25">
      <c r="A162" s="72" t="s">
        <v>49</v>
      </c>
      <c r="B162" s="73">
        <v>0.1</v>
      </c>
      <c r="C162" s="72" t="s">
        <v>255</v>
      </c>
      <c r="D162" s="75" t="s">
        <v>326</v>
      </c>
    </row>
    <row r="163" spans="1:4" ht="24" x14ac:dyDescent="0.25">
      <c r="A163" s="72" t="s">
        <v>122</v>
      </c>
      <c r="B163" s="73">
        <v>999</v>
      </c>
      <c r="C163" s="72" t="s">
        <v>252</v>
      </c>
      <c r="D163" s="77" t="s">
        <v>401</v>
      </c>
    </row>
  </sheetData>
  <mergeCells count="3">
    <mergeCell ref="A1:D1"/>
    <mergeCell ref="A41:D41"/>
    <mergeCell ref="A109:D109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AD853-1760-4903-912E-CE1EF51055FE}">
  <dimension ref="A1:B39"/>
  <sheetViews>
    <sheetView workbookViewId="0">
      <selection activeCell="H15" sqref="H15"/>
    </sheetView>
  </sheetViews>
  <sheetFormatPr defaultRowHeight="14.4" x14ac:dyDescent="0.3"/>
  <cols>
    <col min="1" max="1" width="25.5546875" style="2" bestFit="1" customWidth="1"/>
    <col min="2" max="2" width="41.88671875" style="2" bestFit="1" customWidth="1"/>
    <col min="3" max="16384" width="8.88671875" style="2"/>
  </cols>
  <sheetData>
    <row r="1" spans="1:2" x14ac:dyDescent="0.3">
      <c r="A1" s="62" t="s">
        <v>188</v>
      </c>
      <c r="B1" s="62" t="s">
        <v>189</v>
      </c>
    </row>
    <row r="2" spans="1:2" x14ac:dyDescent="0.3">
      <c r="A2" s="63" t="s">
        <v>192</v>
      </c>
      <c r="B2" s="63" t="s">
        <v>193</v>
      </c>
    </row>
    <row r="3" spans="1:2" x14ac:dyDescent="0.3">
      <c r="A3" s="63" t="s">
        <v>190</v>
      </c>
      <c r="B3" s="63" t="s">
        <v>191</v>
      </c>
    </row>
    <row r="4" spans="1:2" x14ac:dyDescent="0.3">
      <c r="A4" s="63" t="s">
        <v>213</v>
      </c>
      <c r="B4" s="63" t="s">
        <v>208</v>
      </c>
    </row>
    <row r="5" spans="1:2" x14ac:dyDescent="0.3">
      <c r="A5" s="63" t="s">
        <v>214</v>
      </c>
      <c r="B5" s="64">
        <v>16936132608</v>
      </c>
    </row>
    <row r="6" spans="1:2" x14ac:dyDescent="0.3">
      <c r="A6" s="63" t="s">
        <v>238</v>
      </c>
      <c r="B6" s="65">
        <f>B5/1024^3</f>
        <v>15.773002624511719</v>
      </c>
    </row>
    <row r="7" spans="1:2" x14ac:dyDescent="0.3">
      <c r="A7" s="63" t="s">
        <v>215</v>
      </c>
      <c r="B7" s="63" t="s">
        <v>194</v>
      </c>
    </row>
    <row r="8" spans="1:2" x14ac:dyDescent="0.3">
      <c r="A8" s="63" t="s">
        <v>195</v>
      </c>
      <c r="B8" s="63" t="s">
        <v>196</v>
      </c>
    </row>
    <row r="9" spans="1:2" x14ac:dyDescent="0.3">
      <c r="A9" s="63" t="s">
        <v>197</v>
      </c>
      <c r="B9" s="63" t="s">
        <v>198</v>
      </c>
    </row>
    <row r="10" spans="1:2" x14ac:dyDescent="0.3">
      <c r="A10" s="63" t="s">
        <v>216</v>
      </c>
      <c r="B10" s="66">
        <v>44530</v>
      </c>
    </row>
    <row r="11" spans="1:2" x14ac:dyDescent="0.3">
      <c r="A11" s="63" t="s">
        <v>217</v>
      </c>
      <c r="B11" s="67">
        <v>4.7</v>
      </c>
    </row>
    <row r="12" spans="1:2" x14ac:dyDescent="0.3">
      <c r="A12" s="63" t="s">
        <v>218</v>
      </c>
      <c r="B12" s="63">
        <v>4</v>
      </c>
    </row>
    <row r="13" spans="1:2" x14ac:dyDescent="0.3">
      <c r="A13" s="63" t="s">
        <v>219</v>
      </c>
      <c r="B13" s="63">
        <v>8</v>
      </c>
    </row>
    <row r="14" spans="1:2" x14ac:dyDescent="0.3">
      <c r="A14" s="63" t="s">
        <v>220</v>
      </c>
      <c r="B14" s="64">
        <v>5120</v>
      </c>
    </row>
    <row r="15" spans="1:2" x14ac:dyDescent="0.3">
      <c r="A15" s="63" t="s">
        <v>221</v>
      </c>
      <c r="B15" s="64">
        <v>12288</v>
      </c>
    </row>
    <row r="16" spans="1:2" x14ac:dyDescent="0.3">
      <c r="A16" s="63" t="s">
        <v>203</v>
      </c>
      <c r="B16" s="63" t="s">
        <v>209</v>
      </c>
    </row>
    <row r="17" spans="1:2" x14ac:dyDescent="0.3">
      <c r="A17" s="63" t="s">
        <v>222</v>
      </c>
      <c r="B17" s="64">
        <v>1073741824</v>
      </c>
    </row>
    <row r="18" spans="1:2" x14ac:dyDescent="0.3">
      <c r="A18" s="63" t="s">
        <v>243</v>
      </c>
      <c r="B18" s="65">
        <f>B17/1024^3</f>
        <v>1</v>
      </c>
    </row>
    <row r="19" spans="1:2" x14ac:dyDescent="0.3">
      <c r="A19" s="63" t="s">
        <v>223</v>
      </c>
      <c r="B19" s="63" t="s">
        <v>204</v>
      </c>
    </row>
    <row r="20" spans="1:2" x14ac:dyDescent="0.3">
      <c r="A20" s="63" t="s">
        <v>205</v>
      </c>
      <c r="B20" s="63" t="s">
        <v>206</v>
      </c>
    </row>
    <row r="21" spans="1:2" x14ac:dyDescent="0.3">
      <c r="A21" s="63" t="s">
        <v>224</v>
      </c>
      <c r="B21" s="64">
        <v>2147483648</v>
      </c>
    </row>
    <row r="22" spans="1:2" x14ac:dyDescent="0.3">
      <c r="A22" s="63" t="s">
        <v>242</v>
      </c>
      <c r="B22" s="65">
        <f>B21/1024^3</f>
        <v>2</v>
      </c>
    </row>
    <row r="23" spans="1:2" x14ac:dyDescent="0.3">
      <c r="A23" s="63" t="s">
        <v>225</v>
      </c>
      <c r="B23" s="63" t="s">
        <v>207</v>
      </c>
    </row>
    <row r="24" spans="1:2" x14ac:dyDescent="0.3">
      <c r="A24" s="63" t="s">
        <v>226</v>
      </c>
      <c r="B24" s="63" t="s">
        <v>210</v>
      </c>
    </row>
    <row r="25" spans="1:2" x14ac:dyDescent="0.3">
      <c r="A25" s="63" t="s">
        <v>227</v>
      </c>
      <c r="B25" s="64">
        <v>512105932800</v>
      </c>
    </row>
    <row r="26" spans="1:2" x14ac:dyDescent="0.3">
      <c r="A26" s="63" t="s">
        <v>239</v>
      </c>
      <c r="B26" s="65">
        <f>B25/1024^3</f>
        <v>476.93581581115723</v>
      </c>
    </row>
    <row r="27" spans="1:2" x14ac:dyDescent="0.3">
      <c r="A27" s="63" t="s">
        <v>228</v>
      </c>
      <c r="B27" s="63" t="s">
        <v>211</v>
      </c>
    </row>
    <row r="28" spans="1:2" x14ac:dyDescent="0.3">
      <c r="A28" s="63" t="s">
        <v>229</v>
      </c>
      <c r="B28" s="63" t="s">
        <v>201</v>
      </c>
    </row>
    <row r="29" spans="1:2" x14ac:dyDescent="0.3">
      <c r="A29" s="63" t="s">
        <v>230</v>
      </c>
      <c r="B29" s="68">
        <v>3200</v>
      </c>
    </row>
    <row r="30" spans="1:2" x14ac:dyDescent="0.3">
      <c r="A30" s="63" t="s">
        <v>231</v>
      </c>
      <c r="B30" s="64">
        <v>8589934592</v>
      </c>
    </row>
    <row r="31" spans="1:2" x14ac:dyDescent="0.3">
      <c r="A31" s="63" t="s">
        <v>241</v>
      </c>
      <c r="B31" s="65">
        <f>B30/1024^3</f>
        <v>8</v>
      </c>
    </row>
    <row r="32" spans="1:2" x14ac:dyDescent="0.3">
      <c r="A32" s="63" t="s">
        <v>232</v>
      </c>
      <c r="B32" s="63" t="s">
        <v>202</v>
      </c>
    </row>
    <row r="33" spans="1:2" x14ac:dyDescent="0.3">
      <c r="A33" s="63" t="s">
        <v>233</v>
      </c>
      <c r="B33" s="63" t="s">
        <v>201</v>
      </c>
    </row>
    <row r="34" spans="1:2" x14ac:dyDescent="0.3">
      <c r="A34" s="63" t="s">
        <v>234</v>
      </c>
      <c r="B34" s="68">
        <v>3200</v>
      </c>
    </row>
    <row r="35" spans="1:2" x14ac:dyDescent="0.3">
      <c r="A35" s="63" t="s">
        <v>235</v>
      </c>
      <c r="B35" s="64">
        <v>8589934592</v>
      </c>
    </row>
    <row r="36" spans="1:2" x14ac:dyDescent="0.3">
      <c r="A36" s="63" t="s">
        <v>240</v>
      </c>
      <c r="B36" s="65">
        <f>B35/1024^3</f>
        <v>8</v>
      </c>
    </row>
    <row r="37" spans="1:2" x14ac:dyDescent="0.3">
      <c r="A37" s="63" t="s">
        <v>236</v>
      </c>
      <c r="B37" s="63" t="s">
        <v>202</v>
      </c>
    </row>
    <row r="38" spans="1:2" x14ac:dyDescent="0.3">
      <c r="A38" s="63" t="s">
        <v>237</v>
      </c>
      <c r="B38" s="63" t="s">
        <v>212</v>
      </c>
    </row>
    <row r="39" spans="1:2" x14ac:dyDescent="0.3">
      <c r="A39" s="63" t="s">
        <v>199</v>
      </c>
      <c r="B39" s="63" t="s">
        <v>200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A9E8-208C-4B51-BDA7-4276C1A7F879}">
  <dimension ref="A1:H71"/>
  <sheetViews>
    <sheetView workbookViewId="0">
      <selection activeCell="G39" sqref="G39"/>
    </sheetView>
  </sheetViews>
  <sheetFormatPr defaultRowHeight="14.4" x14ac:dyDescent="0.3"/>
  <cols>
    <col min="1" max="2" width="10.77734375" customWidth="1"/>
    <col min="3" max="3" width="5.77734375" customWidth="1"/>
    <col min="4" max="5" width="10.77734375" customWidth="1"/>
    <col min="6" max="6" width="5.77734375" customWidth="1"/>
    <col min="7" max="8" width="10.77734375" customWidth="1"/>
  </cols>
  <sheetData>
    <row r="1" spans="1:8" x14ac:dyDescent="0.3">
      <c r="A1" s="88" t="s">
        <v>413</v>
      </c>
      <c r="B1" s="88"/>
      <c r="D1" s="88" t="s">
        <v>413</v>
      </c>
      <c r="E1" s="88"/>
      <c r="G1" s="88" t="s">
        <v>413</v>
      </c>
      <c r="H1" s="88"/>
    </row>
    <row r="2" spans="1:8" x14ac:dyDescent="0.3">
      <c r="A2" s="1" t="s">
        <v>408</v>
      </c>
      <c r="B2" s="1" t="s">
        <v>409</v>
      </c>
      <c r="D2" s="1" t="s">
        <v>408</v>
      </c>
      <c r="E2" s="1" t="s">
        <v>409</v>
      </c>
      <c r="G2" s="1" t="s">
        <v>408</v>
      </c>
      <c r="H2" s="1" t="s">
        <v>409</v>
      </c>
    </row>
    <row r="3" spans="1:8" x14ac:dyDescent="0.3">
      <c r="A3" s="1">
        <v>1</v>
      </c>
      <c r="B3" s="1">
        <v>-1.2999999999999999E-2</v>
      </c>
      <c r="D3" s="1">
        <v>0.31</v>
      </c>
      <c r="E3" s="1">
        <v>6.8900000000000003E-2</v>
      </c>
      <c r="G3" s="1">
        <v>0.34</v>
      </c>
      <c r="H3" s="1">
        <v>-6.9599999999999995E-2</v>
      </c>
    </row>
    <row r="4" spans="1:8" x14ac:dyDescent="0.3">
      <c r="A4" s="1">
        <v>0.99</v>
      </c>
      <c r="B4" s="1">
        <v>-6.3E-3</v>
      </c>
      <c r="D4" s="1">
        <v>0.3</v>
      </c>
      <c r="E4" s="1">
        <v>6.8599999999999994E-2</v>
      </c>
      <c r="G4" s="1">
        <v>0.35</v>
      </c>
      <c r="H4" s="1">
        <v>-6.9699999999999998E-2</v>
      </c>
    </row>
    <row r="5" spans="1:8" x14ac:dyDescent="0.3">
      <c r="A5" s="1">
        <v>0.98</v>
      </c>
      <c r="B5" s="1">
        <v>-3.2000000000000002E-3</v>
      </c>
      <c r="D5" s="1">
        <v>0.28999999999999998</v>
      </c>
      <c r="E5" s="1">
        <v>6.83E-2</v>
      </c>
      <c r="G5" s="1">
        <v>0.36</v>
      </c>
      <c r="H5" s="1">
        <v>-6.9699999999999998E-2</v>
      </c>
    </row>
    <row r="6" spans="1:8" x14ac:dyDescent="0.3">
      <c r="A6" s="1">
        <v>0.97</v>
      </c>
      <c r="B6" s="1">
        <v>-2.0000000000000001E-4</v>
      </c>
      <c r="D6" s="1">
        <v>0.28000000000000003</v>
      </c>
      <c r="E6" s="1">
        <v>6.7900000000000002E-2</v>
      </c>
      <c r="G6" s="1">
        <v>0.37</v>
      </c>
      <c r="H6" s="1">
        <v>-6.9699999999999998E-2</v>
      </c>
    </row>
    <row r="7" spans="1:8" x14ac:dyDescent="0.3">
      <c r="A7" s="1">
        <v>0.96</v>
      </c>
      <c r="B7" s="1">
        <v>2.7000000000000001E-3</v>
      </c>
      <c r="D7" s="1">
        <v>0.27</v>
      </c>
      <c r="E7" s="1">
        <v>6.7500000000000004E-2</v>
      </c>
      <c r="G7" s="1">
        <v>0.38</v>
      </c>
      <c r="H7" s="1">
        <v>-6.9599999999999995E-2</v>
      </c>
    </row>
    <row r="8" spans="1:8" x14ac:dyDescent="0.3">
      <c r="A8" s="1">
        <v>0.95</v>
      </c>
      <c r="B8" s="1">
        <v>5.5999999999999999E-3</v>
      </c>
      <c r="D8" s="1">
        <v>0.26</v>
      </c>
      <c r="E8" s="1">
        <v>6.7000000000000004E-2</v>
      </c>
      <c r="G8" s="1">
        <v>0.39</v>
      </c>
      <c r="H8" s="1">
        <v>-6.9500000000000006E-2</v>
      </c>
    </row>
    <row r="9" spans="1:8" x14ac:dyDescent="0.3">
      <c r="A9" s="1">
        <v>0.94</v>
      </c>
      <c r="B9" s="1">
        <v>8.3999999999999995E-3</v>
      </c>
      <c r="D9" s="1">
        <v>0.25</v>
      </c>
      <c r="E9" s="1">
        <v>6.6500000000000004E-2</v>
      </c>
      <c r="G9" s="1">
        <v>0.4</v>
      </c>
      <c r="H9" s="1">
        <v>-6.93E-2</v>
      </c>
    </row>
    <row r="10" spans="1:8" x14ac:dyDescent="0.3">
      <c r="A10" s="1">
        <v>0.93</v>
      </c>
      <c r="B10" s="1">
        <v>1.11E-2</v>
      </c>
      <c r="D10" s="1">
        <v>0.24</v>
      </c>
      <c r="E10" s="1">
        <v>6.6000000000000003E-2</v>
      </c>
      <c r="G10" s="1">
        <v>0.41</v>
      </c>
      <c r="H10" s="1">
        <v>-6.9099999999999995E-2</v>
      </c>
    </row>
    <row r="11" spans="1:8" x14ac:dyDescent="0.3">
      <c r="A11" s="1">
        <v>0.92</v>
      </c>
      <c r="B11" s="1">
        <v>1.37E-2</v>
      </c>
      <c r="D11" s="1">
        <v>0.23</v>
      </c>
      <c r="E11" s="1">
        <v>6.54E-2</v>
      </c>
      <c r="G11" s="1">
        <v>0.42</v>
      </c>
      <c r="H11" s="1">
        <v>-6.88E-2</v>
      </c>
    </row>
    <row r="12" spans="1:8" x14ac:dyDescent="0.3">
      <c r="A12" s="1">
        <v>0.91</v>
      </c>
      <c r="B12" s="1">
        <v>1.6199999999999999E-2</v>
      </c>
      <c r="D12" s="1">
        <v>0.22</v>
      </c>
      <c r="E12" s="1">
        <v>6.4799999999999996E-2</v>
      </c>
      <c r="G12" s="1">
        <v>0.43</v>
      </c>
      <c r="H12" s="1">
        <v>-6.8500000000000005E-2</v>
      </c>
    </row>
    <row r="13" spans="1:8" x14ac:dyDescent="0.3">
      <c r="A13" s="1">
        <v>0.9</v>
      </c>
      <c r="B13" s="1">
        <v>1.8700000000000001E-2</v>
      </c>
      <c r="D13" s="1">
        <v>0.21</v>
      </c>
      <c r="E13" s="1">
        <v>6.4100000000000004E-2</v>
      </c>
      <c r="G13" s="1">
        <v>0.44</v>
      </c>
      <c r="H13" s="1">
        <v>-6.8099999999999994E-2</v>
      </c>
    </row>
    <row r="14" spans="1:8" x14ac:dyDescent="0.3">
      <c r="A14" s="1">
        <v>0.89</v>
      </c>
      <c r="B14" s="1">
        <v>2.1100000000000001E-2</v>
      </c>
      <c r="D14" s="1">
        <v>0.2</v>
      </c>
      <c r="E14" s="1">
        <v>6.3299999999999995E-2</v>
      </c>
      <c r="G14" s="1">
        <v>0.45</v>
      </c>
      <c r="H14" s="1">
        <v>-6.7699999999999996E-2</v>
      </c>
    </row>
    <row r="15" spans="1:8" x14ac:dyDescent="0.3">
      <c r="A15" s="1">
        <v>0.88</v>
      </c>
      <c r="B15" s="1">
        <v>2.3400000000000001E-2</v>
      </c>
      <c r="D15" s="1">
        <v>0.19</v>
      </c>
      <c r="E15" s="1">
        <v>6.25E-2</v>
      </c>
      <c r="G15" s="1">
        <v>0.46</v>
      </c>
      <c r="H15" s="1">
        <v>-6.7199999999999996E-2</v>
      </c>
    </row>
    <row r="16" spans="1:8" x14ac:dyDescent="0.3">
      <c r="A16" s="1">
        <v>0.87</v>
      </c>
      <c r="B16" s="1">
        <v>2.5600000000000001E-2</v>
      </c>
      <c r="D16" s="1">
        <v>0.18</v>
      </c>
      <c r="E16" s="1">
        <v>6.1600000000000002E-2</v>
      </c>
      <c r="G16" s="1">
        <v>0.47</v>
      </c>
      <c r="H16" s="1">
        <v>-6.6699999999999995E-2</v>
      </c>
    </row>
    <row r="17" spans="1:8" x14ac:dyDescent="0.3">
      <c r="A17" s="1">
        <v>0.86</v>
      </c>
      <c r="B17" s="1">
        <v>2.7799999999999998E-2</v>
      </c>
      <c r="D17" s="1">
        <v>0.17</v>
      </c>
      <c r="E17" s="1">
        <v>6.0699999999999997E-2</v>
      </c>
      <c r="G17" s="1">
        <v>0.48</v>
      </c>
      <c r="H17" s="1">
        <v>-6.6100000000000006E-2</v>
      </c>
    </row>
    <row r="18" spans="1:8" x14ac:dyDescent="0.3">
      <c r="A18" s="1">
        <v>0.85</v>
      </c>
      <c r="B18" s="1">
        <v>2.9899999999999999E-2</v>
      </c>
      <c r="D18" s="1">
        <v>0.16</v>
      </c>
      <c r="E18" s="1">
        <v>5.9700000000000003E-2</v>
      </c>
      <c r="G18" s="1">
        <v>0.49</v>
      </c>
      <c r="H18" s="1">
        <v>-6.54E-2</v>
      </c>
    </row>
    <row r="19" spans="1:8" x14ac:dyDescent="0.3">
      <c r="A19" s="1">
        <v>0.84</v>
      </c>
      <c r="B19" s="1">
        <v>3.1899999999999998E-2</v>
      </c>
      <c r="D19" s="1">
        <v>0.15</v>
      </c>
      <c r="E19" s="1">
        <v>5.8599999999999999E-2</v>
      </c>
      <c r="G19" s="1">
        <v>0.5</v>
      </c>
      <c r="H19" s="1">
        <v>-6.4600000000000005E-2</v>
      </c>
    </row>
    <row r="20" spans="1:8" x14ac:dyDescent="0.3">
      <c r="A20" s="1">
        <v>0.83</v>
      </c>
      <c r="B20" s="1">
        <v>3.39E-2</v>
      </c>
      <c r="D20" s="1">
        <v>0.14000000000000001</v>
      </c>
      <c r="E20" s="1">
        <v>5.74E-2</v>
      </c>
      <c r="G20" s="1">
        <v>0.51</v>
      </c>
      <c r="H20" s="1">
        <v>-6.3700000000000007E-2</v>
      </c>
    </row>
    <row r="21" spans="1:8" x14ac:dyDescent="0.3">
      <c r="A21" s="1">
        <v>0.82</v>
      </c>
      <c r="B21" s="1">
        <v>3.5799999999999998E-2</v>
      </c>
      <c r="D21" s="1">
        <v>0.13</v>
      </c>
      <c r="E21" s="1">
        <v>5.62E-2</v>
      </c>
      <c r="G21" s="1">
        <v>0.52</v>
      </c>
      <c r="H21" s="1">
        <v>-6.2700000000000006E-2</v>
      </c>
    </row>
    <row r="22" spans="1:8" x14ac:dyDescent="0.3">
      <c r="A22" s="1">
        <v>0.81</v>
      </c>
      <c r="B22" s="1">
        <v>3.7600000000000001E-2</v>
      </c>
      <c r="D22" s="1">
        <v>0.12</v>
      </c>
      <c r="E22" s="1">
        <v>5.4899999999999997E-2</v>
      </c>
      <c r="G22" s="1">
        <v>0.53</v>
      </c>
      <c r="H22" s="1">
        <v>-6.1600000000000002E-2</v>
      </c>
    </row>
    <row r="23" spans="1:8" x14ac:dyDescent="0.3">
      <c r="A23" s="1">
        <v>0.8</v>
      </c>
      <c r="B23" s="1">
        <v>3.9399999999999998E-2</v>
      </c>
      <c r="D23" s="1">
        <v>0.11</v>
      </c>
      <c r="E23" s="1">
        <v>5.3499999999999999E-2</v>
      </c>
      <c r="G23" s="1">
        <v>0.54</v>
      </c>
      <c r="H23" s="1">
        <v>-6.0400000000000002E-2</v>
      </c>
    </row>
    <row r="24" spans="1:8" x14ac:dyDescent="0.3">
      <c r="A24" s="1">
        <v>0.79</v>
      </c>
      <c r="B24" s="1">
        <v>4.1099999999999998E-2</v>
      </c>
      <c r="D24" s="1">
        <v>0.1</v>
      </c>
      <c r="E24" s="1">
        <v>5.1900000000000002E-2</v>
      </c>
      <c r="G24" s="1">
        <v>0.55000000000000004</v>
      </c>
      <c r="H24" s="1">
        <v>-5.91E-2</v>
      </c>
    </row>
    <row r="25" spans="1:8" x14ac:dyDescent="0.3">
      <c r="A25" s="1">
        <v>0.78</v>
      </c>
      <c r="B25" s="1">
        <v>4.2700000000000002E-2</v>
      </c>
      <c r="D25" s="1">
        <v>0.09</v>
      </c>
      <c r="E25" s="1">
        <v>5.0200000000000002E-2</v>
      </c>
      <c r="G25" s="1">
        <v>0.56000000000000005</v>
      </c>
      <c r="H25" s="1">
        <v>-5.7700000000000001E-2</v>
      </c>
    </row>
    <row r="26" spans="1:8" x14ac:dyDescent="0.3">
      <c r="A26" s="1">
        <v>0.77</v>
      </c>
      <c r="B26" s="1">
        <v>4.4299999999999999E-2</v>
      </c>
      <c r="D26" s="1">
        <v>0.08</v>
      </c>
      <c r="E26" s="1">
        <v>4.8399999999999999E-2</v>
      </c>
      <c r="G26" s="1">
        <v>0.56999999999999995</v>
      </c>
      <c r="H26" s="1">
        <v>-5.62E-2</v>
      </c>
    </row>
    <row r="27" spans="1:8" x14ac:dyDescent="0.3">
      <c r="A27" s="1">
        <v>0.76</v>
      </c>
      <c r="B27" s="1">
        <v>4.58E-2</v>
      </c>
      <c r="D27" s="1">
        <v>7.0000000000000007E-2</v>
      </c>
      <c r="E27" s="1">
        <v>4.6300000000000001E-2</v>
      </c>
      <c r="G27" s="1">
        <v>0.57999999999999996</v>
      </c>
      <c r="H27" s="1">
        <v>-5.4600000000000003E-2</v>
      </c>
    </row>
    <row r="28" spans="1:8" x14ac:dyDescent="0.3">
      <c r="A28" s="1">
        <v>0.75</v>
      </c>
      <c r="B28" s="1">
        <v>4.7300000000000002E-2</v>
      </c>
      <c r="D28" s="1">
        <v>0.06</v>
      </c>
      <c r="E28" s="1">
        <v>4.3999999999999997E-2</v>
      </c>
      <c r="G28" s="1">
        <v>0.59</v>
      </c>
      <c r="H28" s="1">
        <v>-5.2900000000000003E-2</v>
      </c>
    </row>
    <row r="29" spans="1:8" x14ac:dyDescent="0.3">
      <c r="A29" s="1">
        <v>0.74</v>
      </c>
      <c r="B29" s="1">
        <v>4.87E-2</v>
      </c>
      <c r="D29" s="1">
        <v>0.05</v>
      </c>
      <c r="E29" s="1">
        <v>4.1399999999999999E-2</v>
      </c>
      <c r="G29" s="1">
        <v>0.6</v>
      </c>
      <c r="H29" s="1">
        <v>-5.11E-2</v>
      </c>
    </row>
    <row r="30" spans="1:8" x14ac:dyDescent="0.3">
      <c r="A30" s="1">
        <v>0.73</v>
      </c>
      <c r="B30" s="1">
        <v>0.05</v>
      </c>
      <c r="D30" s="1">
        <v>0.04</v>
      </c>
      <c r="E30" s="1">
        <v>3.8300000000000001E-2</v>
      </c>
      <c r="G30" s="1">
        <v>0.61</v>
      </c>
      <c r="H30" s="1">
        <v>-4.9200000000000001E-2</v>
      </c>
    </row>
    <row r="31" spans="1:8" x14ac:dyDescent="0.3">
      <c r="A31" s="1">
        <v>0.72</v>
      </c>
      <c r="B31" s="1">
        <v>5.1299999999999998E-2</v>
      </c>
      <c r="D31" s="1">
        <v>0.03</v>
      </c>
      <c r="E31" s="1">
        <v>3.4599999999999999E-2</v>
      </c>
      <c r="G31" s="1">
        <v>0.62</v>
      </c>
      <c r="H31" s="1">
        <v>-4.7300000000000002E-2</v>
      </c>
    </row>
    <row r="32" spans="1:8" x14ac:dyDescent="0.3">
      <c r="A32" s="1">
        <v>0.71</v>
      </c>
      <c r="B32" s="1">
        <v>5.2499999999999998E-2</v>
      </c>
      <c r="D32" s="1">
        <v>0.02</v>
      </c>
      <c r="E32" s="1">
        <v>2.9600000000000001E-2</v>
      </c>
      <c r="G32" s="1">
        <v>0.63</v>
      </c>
      <c r="H32" s="1">
        <v>-4.53E-2</v>
      </c>
    </row>
    <row r="33" spans="1:8" x14ac:dyDescent="0.3">
      <c r="A33" s="1">
        <v>0.7</v>
      </c>
      <c r="B33" s="1">
        <v>5.3699999999999998E-2</v>
      </c>
      <c r="D33" s="1">
        <v>0.01</v>
      </c>
      <c r="E33" s="1">
        <v>2.24E-2</v>
      </c>
      <c r="G33" s="1">
        <v>0.64</v>
      </c>
      <c r="H33" s="1">
        <v>-4.3299999999999998E-2</v>
      </c>
    </row>
    <row r="34" spans="1:8" x14ac:dyDescent="0.3">
      <c r="A34" s="1">
        <v>0.69</v>
      </c>
      <c r="B34" s="1">
        <v>5.4800000000000001E-2</v>
      </c>
      <c r="D34" s="1">
        <v>5.0000000000000001E-3</v>
      </c>
      <c r="E34" s="1">
        <v>1.6580000000000001E-2</v>
      </c>
      <c r="G34" s="1">
        <v>0.65</v>
      </c>
      <c r="H34" s="1">
        <v>-4.1200000000000001E-2</v>
      </c>
    </row>
    <row r="35" spans="1:8" x14ac:dyDescent="0.3">
      <c r="A35" s="1">
        <v>0.68</v>
      </c>
      <c r="B35" s="1">
        <v>5.5899999999999998E-2</v>
      </c>
      <c r="D35" s="1">
        <v>2E-3</v>
      </c>
      <c r="E35" s="1">
        <v>1.077E-2</v>
      </c>
      <c r="G35" s="1">
        <v>0.66</v>
      </c>
      <c r="H35" s="1">
        <v>-3.9100000000000003E-2</v>
      </c>
    </row>
    <row r="36" spans="1:8" x14ac:dyDescent="0.3">
      <c r="A36" s="1">
        <v>0.67</v>
      </c>
      <c r="B36" s="1">
        <v>5.6899999999999999E-2</v>
      </c>
      <c r="D36" s="1">
        <v>0</v>
      </c>
      <c r="E36" s="1">
        <v>0</v>
      </c>
      <c r="G36" s="1">
        <v>0.67</v>
      </c>
      <c r="H36" s="1">
        <v>-3.6999999999999998E-2</v>
      </c>
    </row>
    <row r="37" spans="1:8" x14ac:dyDescent="0.3">
      <c r="A37" s="1">
        <v>0.66</v>
      </c>
      <c r="B37" s="1">
        <v>5.79E-2</v>
      </c>
      <c r="D37" s="1">
        <v>2E-3</v>
      </c>
      <c r="E37" s="1">
        <v>-1.077E-2</v>
      </c>
      <c r="G37" s="1">
        <v>0.68</v>
      </c>
      <c r="H37" s="1">
        <v>-3.4799999999999998E-2</v>
      </c>
    </row>
    <row r="38" spans="1:8" x14ac:dyDescent="0.3">
      <c r="A38" s="1">
        <v>0.65</v>
      </c>
      <c r="B38" s="1">
        <v>5.8799999999999998E-2</v>
      </c>
      <c r="D38" s="1">
        <v>5.0000000000000001E-3</v>
      </c>
      <c r="E38" s="1">
        <v>-1.6580000000000001E-2</v>
      </c>
      <c r="G38" s="1">
        <v>0.69</v>
      </c>
      <c r="H38" s="1">
        <v>-3.2599999999999997E-2</v>
      </c>
    </row>
    <row r="39" spans="1:8" x14ac:dyDescent="0.3">
      <c r="A39" s="1">
        <v>0.64</v>
      </c>
      <c r="B39" s="1">
        <v>5.9700000000000003E-2</v>
      </c>
      <c r="D39" s="1">
        <v>0.01</v>
      </c>
      <c r="E39" s="1">
        <v>-2.24E-2</v>
      </c>
      <c r="G39" s="1">
        <v>0.7</v>
      </c>
      <c r="H39" s="1">
        <v>-3.04E-2</v>
      </c>
    </row>
    <row r="40" spans="1:8" x14ac:dyDescent="0.3">
      <c r="A40" s="1">
        <v>0.63</v>
      </c>
      <c r="B40" s="1">
        <v>6.0499999999999998E-2</v>
      </c>
      <c r="D40" s="1">
        <v>0.02</v>
      </c>
      <c r="E40" s="1">
        <v>-2.9600000000000001E-2</v>
      </c>
      <c r="G40" s="1">
        <v>0.71</v>
      </c>
      <c r="H40" s="1">
        <v>-2.8199999999999999E-2</v>
      </c>
    </row>
    <row r="41" spans="1:8" x14ac:dyDescent="0.3">
      <c r="A41" s="1">
        <v>0.62</v>
      </c>
      <c r="B41" s="1">
        <v>6.13E-2</v>
      </c>
      <c r="D41" s="1">
        <v>0.03</v>
      </c>
      <c r="E41" s="1">
        <v>-3.4500000000000003E-2</v>
      </c>
      <c r="G41" s="1">
        <v>0.72</v>
      </c>
      <c r="H41" s="1">
        <v>-2.5999999999999999E-2</v>
      </c>
    </row>
    <row r="42" spans="1:8" x14ac:dyDescent="0.3">
      <c r="A42" s="1">
        <v>0.61</v>
      </c>
      <c r="B42" s="1">
        <v>6.2100000000000002E-2</v>
      </c>
      <c r="D42" s="1">
        <v>0.04</v>
      </c>
      <c r="E42" s="1">
        <v>-3.8199999999999998E-2</v>
      </c>
      <c r="G42" s="1">
        <v>0.73</v>
      </c>
      <c r="H42" s="1">
        <v>-2.3800000000000002E-2</v>
      </c>
    </row>
    <row r="43" spans="1:8" x14ac:dyDescent="0.3">
      <c r="A43" s="1">
        <v>0.6</v>
      </c>
      <c r="B43" s="1">
        <v>6.2799999999999995E-2</v>
      </c>
      <c r="D43" s="1">
        <v>0.05</v>
      </c>
      <c r="E43" s="1">
        <v>-4.1300000000000003E-2</v>
      </c>
      <c r="G43" s="1">
        <v>0.74</v>
      </c>
      <c r="H43" s="1">
        <v>-2.1600000000000001E-2</v>
      </c>
    </row>
    <row r="44" spans="1:8" x14ac:dyDescent="0.3">
      <c r="A44" s="1">
        <v>0.59</v>
      </c>
      <c r="B44" s="1">
        <v>6.3500000000000001E-2</v>
      </c>
      <c r="D44" s="1">
        <v>0.06</v>
      </c>
      <c r="E44" s="1">
        <v>-4.3900000000000002E-2</v>
      </c>
      <c r="G44" s="1">
        <v>0.75</v>
      </c>
      <c r="H44" s="1">
        <v>-1.9400000000000001E-2</v>
      </c>
    </row>
    <row r="45" spans="1:8" x14ac:dyDescent="0.3">
      <c r="A45" s="1">
        <v>0.57999999999999996</v>
      </c>
      <c r="B45" s="1">
        <v>6.4100000000000004E-2</v>
      </c>
      <c r="D45" s="1">
        <v>7.0000000000000007E-2</v>
      </c>
      <c r="E45" s="1">
        <v>-4.6199999999999998E-2</v>
      </c>
      <c r="G45" s="1">
        <v>0.76</v>
      </c>
      <c r="H45" s="1">
        <v>-1.7299999999999999E-2</v>
      </c>
    </row>
    <row r="46" spans="1:8" x14ac:dyDescent="0.3">
      <c r="A46" s="1">
        <v>0.56999999999999995</v>
      </c>
      <c r="B46" s="1">
        <v>6.4699999999999994E-2</v>
      </c>
      <c r="D46" s="1">
        <v>0.08</v>
      </c>
      <c r="E46" s="1">
        <v>-4.8300000000000003E-2</v>
      </c>
      <c r="G46" s="1">
        <v>0.77</v>
      </c>
      <c r="H46" s="1">
        <v>-1.52E-2</v>
      </c>
    </row>
    <row r="47" spans="1:8" x14ac:dyDescent="0.3">
      <c r="A47" s="1">
        <v>0.56000000000000005</v>
      </c>
      <c r="B47" s="1">
        <v>6.5299999999999997E-2</v>
      </c>
      <c r="D47" s="1">
        <v>0.09</v>
      </c>
      <c r="E47" s="1">
        <v>-5.0099999999999999E-2</v>
      </c>
      <c r="G47" s="1">
        <v>0.78</v>
      </c>
      <c r="H47" s="1">
        <v>-1.32E-2</v>
      </c>
    </row>
    <row r="48" spans="1:8" x14ac:dyDescent="0.3">
      <c r="A48" s="1">
        <v>0.55000000000000004</v>
      </c>
      <c r="B48" s="1">
        <v>6.5799999999999997E-2</v>
      </c>
      <c r="D48" s="1">
        <v>0.1</v>
      </c>
      <c r="E48" s="1">
        <v>-5.1799999999999999E-2</v>
      </c>
      <c r="G48" s="1">
        <v>0.79</v>
      </c>
      <c r="H48" s="1">
        <v>-1.1299999999999999E-2</v>
      </c>
    </row>
    <row r="49" spans="1:8" x14ac:dyDescent="0.3">
      <c r="A49" s="1">
        <v>0.54</v>
      </c>
      <c r="B49" s="1">
        <v>6.6299999999999998E-2</v>
      </c>
      <c r="D49" s="1">
        <v>0.11</v>
      </c>
      <c r="E49" s="1">
        <v>-5.3400000000000003E-2</v>
      </c>
      <c r="G49" s="1">
        <v>0.8</v>
      </c>
      <c r="H49" s="1">
        <v>-9.4999999999999998E-3</v>
      </c>
    </row>
    <row r="50" spans="1:8" x14ac:dyDescent="0.3">
      <c r="A50" s="1">
        <v>0.53</v>
      </c>
      <c r="B50" s="1">
        <v>6.6799999999999998E-2</v>
      </c>
      <c r="D50" s="1">
        <v>0.12</v>
      </c>
      <c r="E50" s="1">
        <v>-5.4899999999999997E-2</v>
      </c>
      <c r="G50" s="1">
        <v>0.81</v>
      </c>
      <c r="H50" s="1">
        <v>-7.9000000000000008E-3</v>
      </c>
    </row>
    <row r="51" spans="1:8" x14ac:dyDescent="0.3">
      <c r="A51" s="1">
        <v>0.52</v>
      </c>
      <c r="B51" s="1">
        <v>6.7199999999999996E-2</v>
      </c>
      <c r="D51" s="1">
        <v>0.13</v>
      </c>
      <c r="E51" s="1">
        <v>-5.62E-2</v>
      </c>
      <c r="G51" s="1">
        <v>0.82</v>
      </c>
      <c r="H51" s="1">
        <v>-6.4000000000000003E-3</v>
      </c>
    </row>
    <row r="52" spans="1:8" x14ac:dyDescent="0.3">
      <c r="A52" s="1">
        <v>0.51</v>
      </c>
      <c r="B52" s="1">
        <v>6.7599999999999993E-2</v>
      </c>
      <c r="D52" s="1">
        <v>0.14000000000000001</v>
      </c>
      <c r="E52" s="1">
        <v>-5.74E-2</v>
      </c>
      <c r="G52" s="1">
        <v>0.83</v>
      </c>
      <c r="H52" s="1">
        <v>-5.0000000000000001E-3</v>
      </c>
    </row>
    <row r="53" spans="1:8" x14ac:dyDescent="0.3">
      <c r="A53" s="1">
        <v>0.5</v>
      </c>
      <c r="B53" s="1">
        <v>6.8000000000000005E-2</v>
      </c>
      <c r="D53" s="1">
        <v>0.15</v>
      </c>
      <c r="E53" s="1">
        <v>-5.8599999999999999E-2</v>
      </c>
      <c r="G53" s="1">
        <v>0.84</v>
      </c>
      <c r="H53" s="1">
        <v>-3.8E-3</v>
      </c>
    </row>
    <row r="54" spans="1:8" x14ac:dyDescent="0.3">
      <c r="A54" s="1">
        <v>0.49</v>
      </c>
      <c r="B54" s="1">
        <v>6.83E-2</v>
      </c>
      <c r="D54" s="1">
        <v>0.16</v>
      </c>
      <c r="E54" s="1">
        <v>-5.9700000000000003E-2</v>
      </c>
      <c r="G54" s="1">
        <v>0.85</v>
      </c>
      <c r="H54" s="1">
        <v>-2.8E-3</v>
      </c>
    </row>
    <row r="55" spans="1:8" x14ac:dyDescent="0.3">
      <c r="A55" s="1">
        <v>0.48</v>
      </c>
      <c r="B55" s="1">
        <v>6.8599999999999994E-2</v>
      </c>
      <c r="D55" s="1">
        <v>0.17</v>
      </c>
      <c r="E55" s="1">
        <v>-6.0699999999999997E-2</v>
      </c>
      <c r="G55" s="1">
        <v>0.86</v>
      </c>
      <c r="H55" s="1">
        <v>-2E-3</v>
      </c>
    </row>
    <row r="56" spans="1:8" x14ac:dyDescent="0.3">
      <c r="A56" s="1">
        <v>0.47</v>
      </c>
      <c r="B56" s="1">
        <v>6.8900000000000003E-2</v>
      </c>
      <c r="D56" s="1">
        <v>0.18</v>
      </c>
      <c r="E56" s="1">
        <v>-6.1600000000000002E-2</v>
      </c>
      <c r="G56" s="1">
        <v>0.87</v>
      </c>
      <c r="H56" s="1">
        <v>-1.4E-3</v>
      </c>
    </row>
    <row r="57" spans="1:8" x14ac:dyDescent="0.3">
      <c r="A57" s="1">
        <v>0.46</v>
      </c>
      <c r="B57" s="1">
        <v>6.9099999999999995E-2</v>
      </c>
      <c r="D57" s="1">
        <v>0.19</v>
      </c>
      <c r="E57" s="1">
        <v>-6.25E-2</v>
      </c>
      <c r="G57" s="1">
        <v>0.88</v>
      </c>
      <c r="H57" s="1">
        <v>-1E-3</v>
      </c>
    </row>
    <row r="58" spans="1:8" x14ac:dyDescent="0.3">
      <c r="A58" s="1">
        <v>0.45</v>
      </c>
      <c r="B58" s="1">
        <v>6.93E-2</v>
      </c>
      <c r="D58" s="1">
        <v>0.2</v>
      </c>
      <c r="E58" s="1">
        <v>-6.3299999999999995E-2</v>
      </c>
      <c r="G58" s="1">
        <v>0.89</v>
      </c>
      <c r="H58" s="1">
        <v>-8.0000000000000004E-4</v>
      </c>
    </row>
    <row r="59" spans="1:8" x14ac:dyDescent="0.3">
      <c r="A59" s="1">
        <v>0.44</v>
      </c>
      <c r="B59" s="1">
        <v>6.9500000000000006E-2</v>
      </c>
      <c r="D59" s="1">
        <v>0.21</v>
      </c>
      <c r="E59" s="1">
        <v>-6.4100000000000004E-2</v>
      </c>
      <c r="G59" s="1">
        <v>0.9</v>
      </c>
      <c r="H59" s="1">
        <v>-8.9999999999999998E-4</v>
      </c>
    </row>
    <row r="60" spans="1:8" x14ac:dyDescent="0.3">
      <c r="A60" s="1">
        <v>0.43</v>
      </c>
      <c r="B60" s="1">
        <v>6.9599999999999995E-2</v>
      </c>
      <c r="D60" s="1">
        <v>0.22</v>
      </c>
      <c r="E60" s="1">
        <v>-6.4799999999999996E-2</v>
      </c>
      <c r="G60" s="1">
        <v>0.91</v>
      </c>
      <c r="H60" s="1">
        <v>-1.1999999999999999E-3</v>
      </c>
    </row>
    <row r="61" spans="1:8" x14ac:dyDescent="0.3">
      <c r="A61" s="1">
        <v>0.42</v>
      </c>
      <c r="B61" s="1">
        <v>6.9699999999999998E-2</v>
      </c>
      <c r="D61" s="1">
        <v>0.23</v>
      </c>
      <c r="E61" s="1">
        <v>-6.5500000000000003E-2</v>
      </c>
      <c r="G61" s="1">
        <v>0.92</v>
      </c>
      <c r="H61" s="1">
        <v>-1.6999999999999999E-3</v>
      </c>
    </row>
    <row r="62" spans="1:8" x14ac:dyDescent="0.3">
      <c r="A62" s="1">
        <v>0.41</v>
      </c>
      <c r="B62" s="1">
        <v>6.9800000000000001E-2</v>
      </c>
      <c r="D62" s="1">
        <v>0.24</v>
      </c>
      <c r="E62" s="1">
        <v>-6.6100000000000006E-2</v>
      </c>
      <c r="G62" s="1">
        <v>0.93</v>
      </c>
      <c r="H62" s="1">
        <v>-2.5000000000000001E-3</v>
      </c>
    </row>
    <row r="63" spans="1:8" x14ac:dyDescent="0.3">
      <c r="A63" s="1">
        <v>0.4</v>
      </c>
      <c r="B63" s="1">
        <v>6.9900000000000004E-2</v>
      </c>
      <c r="D63" s="1">
        <v>0.25</v>
      </c>
      <c r="E63" s="1">
        <v>-6.6699999999999995E-2</v>
      </c>
      <c r="G63" s="1">
        <v>0.94</v>
      </c>
      <c r="H63" s="1">
        <v>-3.5999999999999999E-3</v>
      </c>
    </row>
    <row r="64" spans="1:8" x14ac:dyDescent="0.3">
      <c r="A64" s="1">
        <v>0.39</v>
      </c>
      <c r="B64" s="1">
        <v>6.9900000000000004E-2</v>
      </c>
      <c r="D64" s="1">
        <v>0.26</v>
      </c>
      <c r="E64" s="1">
        <v>-6.7199999999999996E-2</v>
      </c>
      <c r="G64" s="1">
        <v>0.95</v>
      </c>
      <c r="H64" s="1">
        <v>-5.0000000000000001E-3</v>
      </c>
    </row>
    <row r="65" spans="1:8" x14ac:dyDescent="0.3">
      <c r="A65" s="1">
        <v>0.38</v>
      </c>
      <c r="B65" s="1">
        <v>6.9900000000000004E-2</v>
      </c>
      <c r="D65" s="1">
        <v>0.27</v>
      </c>
      <c r="E65" s="1">
        <v>-6.7699999999999996E-2</v>
      </c>
      <c r="G65" s="1">
        <v>0.96</v>
      </c>
      <c r="H65" s="1">
        <v>-6.7000000000000002E-3</v>
      </c>
    </row>
    <row r="66" spans="1:8" x14ac:dyDescent="0.3">
      <c r="A66" s="1">
        <v>0.37</v>
      </c>
      <c r="B66" s="1">
        <v>6.9900000000000004E-2</v>
      </c>
      <c r="D66" s="1">
        <v>0.28000000000000003</v>
      </c>
      <c r="E66" s="1">
        <v>-6.8099999999999994E-2</v>
      </c>
      <c r="G66" s="1">
        <v>0.97</v>
      </c>
      <c r="H66" s="1">
        <v>-8.6999999999999994E-3</v>
      </c>
    </row>
    <row r="67" spans="1:8" x14ac:dyDescent="0.3">
      <c r="A67" s="1">
        <v>0.36</v>
      </c>
      <c r="B67" s="1">
        <v>6.9800000000000001E-2</v>
      </c>
      <c r="D67" s="1">
        <v>0.28999999999999998</v>
      </c>
      <c r="E67" s="1">
        <v>-6.8500000000000005E-2</v>
      </c>
      <c r="G67" s="1">
        <v>0.98</v>
      </c>
      <c r="H67" s="1">
        <v>-1.0999999999999999E-2</v>
      </c>
    </row>
    <row r="68" spans="1:8" x14ac:dyDescent="0.3">
      <c r="A68" s="1">
        <v>0.35</v>
      </c>
      <c r="B68" s="1">
        <v>6.9699999999999998E-2</v>
      </c>
      <c r="D68" s="1">
        <v>0.3</v>
      </c>
      <c r="E68" s="1">
        <v>-6.88E-2</v>
      </c>
      <c r="G68" s="1">
        <v>0.99</v>
      </c>
      <c r="H68" s="1">
        <v>-1.3599999999999999E-2</v>
      </c>
    </row>
    <row r="69" spans="1:8" x14ac:dyDescent="0.3">
      <c r="A69" s="1">
        <v>0.34</v>
      </c>
      <c r="B69" s="1">
        <v>6.9599999999999995E-2</v>
      </c>
      <c r="D69" s="1">
        <v>0.31</v>
      </c>
      <c r="E69" s="1">
        <v>-6.9099999999999995E-2</v>
      </c>
      <c r="G69" s="1">
        <v>1</v>
      </c>
      <c r="H69" s="1">
        <v>-1.2999999999999999E-2</v>
      </c>
    </row>
    <row r="70" spans="1:8" x14ac:dyDescent="0.3">
      <c r="A70" s="1">
        <v>0.33</v>
      </c>
      <c r="B70" s="1">
        <v>6.9400000000000003E-2</v>
      </c>
      <c r="D70" s="1">
        <v>0.32</v>
      </c>
      <c r="E70" s="1">
        <v>-6.93E-2</v>
      </c>
    </row>
    <row r="71" spans="1:8" x14ac:dyDescent="0.3">
      <c r="A71" s="1">
        <v>0.32</v>
      </c>
      <c r="B71" s="1">
        <v>6.9199999999999998E-2</v>
      </c>
      <c r="D71" s="1">
        <v>0.33</v>
      </c>
      <c r="E71" s="1">
        <v>-6.9500000000000006E-2</v>
      </c>
    </row>
  </sheetData>
  <mergeCells count="3">
    <mergeCell ref="G1:H1"/>
    <mergeCell ref="D1:E1"/>
    <mergeCell ref="A1:B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41ED8-8F2A-47C2-88FB-1E417DA336DF}">
  <dimension ref="A1:E43"/>
  <sheetViews>
    <sheetView topLeftCell="A27" workbookViewId="0">
      <selection activeCell="G39" sqref="G39"/>
    </sheetView>
  </sheetViews>
  <sheetFormatPr defaultRowHeight="14.4" x14ac:dyDescent="0.3"/>
  <cols>
    <col min="1" max="5" width="13.77734375" customWidth="1"/>
  </cols>
  <sheetData>
    <row r="1" spans="1:5" x14ac:dyDescent="0.3">
      <c r="A1" s="88" t="s">
        <v>411</v>
      </c>
      <c r="B1" s="88"/>
      <c r="D1" s="88" t="s">
        <v>411</v>
      </c>
      <c r="E1" s="88"/>
    </row>
    <row r="2" spans="1:5" ht="15" thickBot="1" x14ac:dyDescent="0.35">
      <c r="A2" s="1" t="s">
        <v>408</v>
      </c>
      <c r="B2" s="1" t="s">
        <v>409</v>
      </c>
      <c r="D2" s="84" t="s">
        <v>408</v>
      </c>
      <c r="E2" s="84" t="s">
        <v>409</v>
      </c>
    </row>
    <row r="3" spans="1:5" x14ac:dyDescent="0.3">
      <c r="A3" s="1">
        <v>1</v>
      </c>
      <c r="B3" s="1">
        <v>0</v>
      </c>
      <c r="D3" s="83">
        <v>2.2230000000000001E-3</v>
      </c>
      <c r="E3" s="83">
        <v>-6.6889999999999996E-3</v>
      </c>
    </row>
    <row r="4" spans="1:5" x14ac:dyDescent="0.3">
      <c r="A4" s="1">
        <v>0.99847399999999997</v>
      </c>
      <c r="B4" s="1">
        <v>3.2600000000000001E-4</v>
      </c>
      <c r="D4" s="83">
        <v>7.4790000000000004E-3</v>
      </c>
      <c r="E4" s="83">
        <v>-1.2828000000000001E-2</v>
      </c>
    </row>
    <row r="5" spans="1:5" x14ac:dyDescent="0.3">
      <c r="A5" s="1">
        <v>0.99390299999999998</v>
      </c>
      <c r="B5" s="1">
        <v>1.2980000000000001E-3</v>
      </c>
      <c r="D5" s="83">
        <v>1.5723000000000001E-2</v>
      </c>
      <c r="E5" s="83">
        <v>-1.8404E-2</v>
      </c>
    </row>
    <row r="6" spans="1:5" x14ac:dyDescent="0.3">
      <c r="A6" s="1">
        <v>0.98631400000000002</v>
      </c>
      <c r="B6" s="1">
        <v>2.8960000000000001E-3</v>
      </c>
      <c r="D6" s="83">
        <v>2.6891999999999999E-2</v>
      </c>
      <c r="E6" s="83">
        <v>-2.3408000000000002E-2</v>
      </c>
    </row>
    <row r="7" spans="1:5" x14ac:dyDescent="0.3">
      <c r="A7" s="1">
        <v>0.97575199999999995</v>
      </c>
      <c r="B7" s="1">
        <v>5.0920000000000002E-3</v>
      </c>
      <c r="D7" s="83">
        <v>4.0905999999999998E-2</v>
      </c>
      <c r="E7" s="83">
        <v>-2.7826E-2</v>
      </c>
    </row>
    <row r="8" spans="1:5" x14ac:dyDescent="0.3">
      <c r="A8" s="1">
        <v>0.96227600000000002</v>
      </c>
      <c r="B8" s="1">
        <v>7.8449999999999995E-3</v>
      </c>
      <c r="D8" s="83">
        <v>5.7668999999999998E-2</v>
      </c>
      <c r="E8" s="83">
        <v>-3.1650999999999999E-2</v>
      </c>
    </row>
    <row r="9" spans="1:5" x14ac:dyDescent="0.3">
      <c r="A9" s="1">
        <v>0.94596599999999997</v>
      </c>
      <c r="B9" s="1">
        <v>1.1105E-2</v>
      </c>
      <c r="D9" s="83">
        <v>7.7071000000000001E-2</v>
      </c>
      <c r="E9" s="83">
        <v>-3.4877999999999999E-2</v>
      </c>
    </row>
    <row r="10" spans="1:5" x14ac:dyDescent="0.3">
      <c r="A10" s="1">
        <v>0.92691699999999999</v>
      </c>
      <c r="B10" s="1">
        <v>1.4814000000000001E-2</v>
      </c>
      <c r="D10" s="83">
        <v>9.8987000000000006E-2</v>
      </c>
      <c r="E10" s="83">
        <v>-3.7506999999999999E-2</v>
      </c>
    </row>
    <row r="11" spans="1:5" x14ac:dyDescent="0.3">
      <c r="A11" s="1">
        <v>0.90524000000000004</v>
      </c>
      <c r="B11" s="1">
        <v>1.891E-2</v>
      </c>
      <c r="D11" s="83">
        <v>0.123281</v>
      </c>
      <c r="E11" s="83">
        <v>-3.9545999999999998E-2</v>
      </c>
    </row>
    <row r="12" spans="1:5" x14ac:dyDescent="0.3">
      <c r="A12" s="1">
        <v>0.88106399999999996</v>
      </c>
      <c r="B12" s="1">
        <v>2.3324000000000001E-2</v>
      </c>
      <c r="D12" s="83">
        <v>0.14980499999999999</v>
      </c>
      <c r="E12" s="83">
        <v>-4.1012E-2</v>
      </c>
    </row>
    <row r="13" spans="1:5" x14ac:dyDescent="0.3">
      <c r="A13" s="1">
        <v>0.85453199999999996</v>
      </c>
      <c r="B13" s="1">
        <v>2.7984999999999999E-2</v>
      </c>
      <c r="D13" s="83">
        <v>0.178401</v>
      </c>
      <c r="E13" s="83">
        <v>-4.1932999999999998E-2</v>
      </c>
    </row>
    <row r="14" spans="1:5" x14ac:dyDescent="0.3">
      <c r="A14" s="1">
        <v>0.82580200000000004</v>
      </c>
      <c r="B14" s="1">
        <v>3.2821999999999997E-2</v>
      </c>
      <c r="D14" s="83">
        <v>0.208902</v>
      </c>
      <c r="E14" s="83">
        <v>-4.2342999999999999E-2</v>
      </c>
    </row>
    <row r="15" spans="1:5" x14ac:dyDescent="0.3">
      <c r="A15" s="1">
        <v>0.79504699999999995</v>
      </c>
      <c r="B15" s="1">
        <v>3.7760000000000002E-2</v>
      </c>
      <c r="D15" s="83">
        <v>0.24113100000000001</v>
      </c>
      <c r="E15" s="83">
        <v>-4.2290000000000001E-2</v>
      </c>
    </row>
    <row r="16" spans="1:5" x14ac:dyDescent="0.3">
      <c r="A16" s="1">
        <v>0.76245200000000002</v>
      </c>
      <c r="B16" s="1">
        <v>4.2726E-2</v>
      </c>
      <c r="D16" s="83">
        <v>0.27490399999999998</v>
      </c>
      <c r="E16" s="83">
        <v>-4.1827000000000003E-2</v>
      </c>
    </row>
    <row r="17" spans="1:5" x14ac:dyDescent="0.3">
      <c r="A17" s="1">
        <v>0.72821599999999997</v>
      </c>
      <c r="B17" s="1">
        <v>4.7648000000000003E-2</v>
      </c>
      <c r="D17" s="83">
        <v>0.31002800000000003</v>
      </c>
      <c r="E17" s="83">
        <v>-4.1015999999999997E-2</v>
      </c>
    </row>
    <row r="18" spans="1:5" x14ac:dyDescent="0.3">
      <c r="A18" s="1">
        <v>0.69254499999999997</v>
      </c>
      <c r="B18" s="1">
        <v>5.2453E-2</v>
      </c>
      <c r="D18" s="83">
        <v>0.34630300000000003</v>
      </c>
      <c r="E18" s="83">
        <v>-3.9923E-2</v>
      </c>
    </row>
    <row r="19" spans="1:5" x14ac:dyDescent="0.3">
      <c r="A19" s="1">
        <v>0.65565899999999999</v>
      </c>
      <c r="B19" s="1">
        <v>5.7070999999999997E-2</v>
      </c>
      <c r="D19" s="83">
        <v>0.38352199999999997</v>
      </c>
      <c r="E19" s="83">
        <v>-3.8616999999999999E-2</v>
      </c>
    </row>
    <row r="20" spans="1:5" x14ac:dyDescent="0.3">
      <c r="A20" s="1">
        <v>0.61778299999999997</v>
      </c>
      <c r="B20" s="1">
        <v>6.1432E-2</v>
      </c>
      <c r="D20" s="83">
        <v>0.42164499999999999</v>
      </c>
      <c r="E20" s="83">
        <v>-3.7134E-2</v>
      </c>
    </row>
    <row r="21" spans="1:5" x14ac:dyDescent="0.3">
      <c r="A21" s="1">
        <v>0.57915300000000003</v>
      </c>
      <c r="B21" s="1">
        <v>6.5467999999999998E-2</v>
      </c>
      <c r="D21" s="83">
        <v>0.46039799999999997</v>
      </c>
      <c r="E21" s="83">
        <v>-3.5388000000000003E-2</v>
      </c>
    </row>
    <row r="22" spans="1:5" x14ac:dyDescent="0.3">
      <c r="A22" s="1">
        <v>0.54000599999999999</v>
      </c>
      <c r="B22" s="1">
        <v>6.9112999999999994E-2</v>
      </c>
      <c r="D22" s="83">
        <v>0.499413</v>
      </c>
      <c r="E22" s="83">
        <v>-3.3413999999999999E-2</v>
      </c>
    </row>
    <row r="23" spans="1:5" x14ac:dyDescent="0.3">
      <c r="A23" s="1">
        <v>0.500587</v>
      </c>
      <c r="B23" s="1">
        <v>7.2303000000000006E-2</v>
      </c>
      <c r="D23" s="83">
        <v>0.53845299999999996</v>
      </c>
      <c r="E23" s="83">
        <v>-3.1267000000000003E-2</v>
      </c>
    </row>
    <row r="24" spans="1:5" x14ac:dyDescent="0.3">
      <c r="A24" s="1">
        <v>0.46114300000000003</v>
      </c>
      <c r="B24" s="1">
        <v>7.4977000000000002E-2</v>
      </c>
      <c r="D24" s="83">
        <v>0.57728199999999996</v>
      </c>
      <c r="E24" s="83">
        <v>-2.8996999999999998E-2</v>
      </c>
    </row>
    <row r="25" spans="1:5" x14ac:dyDescent="0.3">
      <c r="A25" s="1">
        <v>0.42192099999999999</v>
      </c>
      <c r="B25" s="1">
        <v>7.7081999999999998E-2</v>
      </c>
      <c r="D25" s="83">
        <v>0.61566200000000004</v>
      </c>
      <c r="E25" s="83">
        <v>-2.6651000000000001E-2</v>
      </c>
    </row>
    <row r="26" spans="1:5" x14ac:dyDescent="0.3">
      <c r="A26" s="1">
        <v>0.38303199999999998</v>
      </c>
      <c r="B26" s="1">
        <v>7.8547000000000006E-2</v>
      </c>
      <c r="D26" s="83">
        <v>0.65335799999999999</v>
      </c>
      <c r="E26" s="83">
        <v>-2.4268999999999999E-2</v>
      </c>
    </row>
    <row r="27" spans="1:5" x14ac:dyDescent="0.3">
      <c r="A27" s="1">
        <v>0.34467999999999999</v>
      </c>
      <c r="B27" s="1">
        <v>7.918E-2</v>
      </c>
      <c r="D27" s="83">
        <v>0.69013899999999995</v>
      </c>
      <c r="E27" s="83">
        <v>-2.1884000000000001E-2</v>
      </c>
    </row>
    <row r="28" spans="1:5" x14ac:dyDescent="0.3">
      <c r="A28" s="1">
        <v>0.30728899999999998</v>
      </c>
      <c r="B28" s="1">
        <v>7.893E-2</v>
      </c>
      <c r="D28" s="83">
        <v>0.72577499999999995</v>
      </c>
      <c r="E28" s="83">
        <v>-1.9529000000000001E-2</v>
      </c>
    </row>
    <row r="29" spans="1:5" x14ac:dyDescent="0.3">
      <c r="A29" s="1">
        <v>0.27110600000000001</v>
      </c>
      <c r="B29" s="1">
        <v>7.7795000000000003E-2</v>
      </c>
      <c r="D29" s="83">
        <v>0.760046</v>
      </c>
      <c r="E29" s="83">
        <v>-1.7226000000000002E-2</v>
      </c>
    </row>
    <row r="30" spans="1:5" x14ac:dyDescent="0.3">
      <c r="A30" s="1">
        <v>0.236371</v>
      </c>
      <c r="B30" s="1">
        <v>7.5789999999999996E-2</v>
      </c>
      <c r="D30" s="83">
        <v>0.79273800000000005</v>
      </c>
      <c r="E30" s="83">
        <v>-1.4999E-2</v>
      </c>
    </row>
    <row r="31" spans="1:5" x14ac:dyDescent="0.3">
      <c r="A31" s="1">
        <v>0.20331299999999999</v>
      </c>
      <c r="B31" s="1">
        <v>7.2944999999999996E-2</v>
      </c>
      <c r="D31" s="83">
        <v>0.82364599999999999</v>
      </c>
      <c r="E31" s="83">
        <v>-1.2865E-2</v>
      </c>
    </row>
    <row r="32" spans="1:5" x14ac:dyDescent="0.3">
      <c r="A32" s="1">
        <v>0.172151</v>
      </c>
      <c r="B32" s="1">
        <v>6.9307999999999995E-2</v>
      </c>
      <c r="D32" s="83">
        <v>0.85257499999999997</v>
      </c>
      <c r="E32" s="83">
        <v>-1.0841999999999999E-2</v>
      </c>
    </row>
    <row r="33" spans="1:5" x14ac:dyDescent="0.3">
      <c r="A33" s="1">
        <v>0.14308899999999999</v>
      </c>
      <c r="B33" s="1">
        <v>6.4939999999999998E-2</v>
      </c>
      <c r="D33" s="83">
        <v>0.87934199999999996</v>
      </c>
      <c r="E33" s="83">
        <v>-8.9460000000000008E-3</v>
      </c>
    </row>
    <row r="34" spans="1:5" x14ac:dyDescent="0.3">
      <c r="A34" s="1">
        <v>0.116313</v>
      </c>
      <c r="B34" s="1">
        <v>5.9916999999999998E-2</v>
      </c>
      <c r="D34" s="83">
        <v>0.90377700000000005</v>
      </c>
      <c r="E34" s="83">
        <v>-7.1910000000000003E-3</v>
      </c>
    </row>
    <row r="35" spans="1:5" x14ac:dyDescent="0.3">
      <c r="A35" s="1">
        <v>9.1995999999999994E-2</v>
      </c>
      <c r="B35" s="1">
        <v>5.4324999999999998E-2</v>
      </c>
      <c r="D35" s="83">
        <v>0.92572299999999996</v>
      </c>
      <c r="E35" s="83">
        <v>-5.594E-3</v>
      </c>
    </row>
    <row r="36" spans="1:5" x14ac:dyDescent="0.3">
      <c r="A36" s="1">
        <v>7.0289000000000004E-2</v>
      </c>
      <c r="B36" s="1">
        <v>4.8257000000000001E-2</v>
      </c>
      <c r="D36" s="83">
        <v>0.94503999999999999</v>
      </c>
      <c r="E36" s="83">
        <v>-4.169E-3</v>
      </c>
    </row>
    <row r="37" spans="1:5" x14ac:dyDescent="0.3">
      <c r="A37" s="1">
        <v>5.1324000000000002E-2</v>
      </c>
      <c r="B37" s="1">
        <v>4.1807999999999998E-2</v>
      </c>
      <c r="D37" s="83">
        <v>0.96160299999999999</v>
      </c>
      <c r="E37" s="83">
        <v>-2.931E-3</v>
      </c>
    </row>
    <row r="38" spans="1:5" x14ac:dyDescent="0.3">
      <c r="A38" s="1">
        <v>3.5214000000000002E-2</v>
      </c>
      <c r="B38" s="1">
        <v>3.5076000000000003E-2</v>
      </c>
      <c r="D38" s="83">
        <v>0.97530499999999998</v>
      </c>
      <c r="E38" s="83">
        <v>-1.8959999999999999E-3</v>
      </c>
    </row>
    <row r="39" spans="1:5" x14ac:dyDescent="0.3">
      <c r="A39" s="1">
        <v>2.2051000000000001E-2</v>
      </c>
      <c r="B39" s="1">
        <v>2.8152E-2</v>
      </c>
      <c r="D39" s="83">
        <v>0.98605600000000004</v>
      </c>
      <c r="E39" s="83">
        <v>-1.0759999999999999E-3</v>
      </c>
    </row>
    <row r="40" spans="1:5" x14ac:dyDescent="0.3">
      <c r="A40" s="1">
        <v>1.1906999999999999E-2</v>
      </c>
      <c r="B40" s="1">
        <v>2.112E-2</v>
      </c>
      <c r="D40" s="83">
        <v>0.99378500000000003</v>
      </c>
      <c r="E40" s="83">
        <v>-4.8099999999999998E-4</v>
      </c>
    </row>
    <row r="41" spans="1:5" x14ac:dyDescent="0.3">
      <c r="A41" s="1">
        <v>4.8329999999999996E-3</v>
      </c>
      <c r="B41" s="1">
        <v>1.4049000000000001E-2</v>
      </c>
      <c r="D41" s="83">
        <v>0.998444</v>
      </c>
      <c r="E41" s="83">
        <v>-1.21E-4</v>
      </c>
    </row>
    <row r="42" spans="1:5" x14ac:dyDescent="0.3">
      <c r="A42" s="1">
        <v>8.5999999999999998E-4</v>
      </c>
      <c r="B42" s="1">
        <v>6.9969999999999997E-3</v>
      </c>
      <c r="D42" s="85">
        <v>1</v>
      </c>
      <c r="E42" s="85">
        <v>0</v>
      </c>
    </row>
    <row r="43" spans="1:5" x14ac:dyDescent="0.3">
      <c r="A43" s="1">
        <v>0</v>
      </c>
      <c r="B43" s="1">
        <v>0</v>
      </c>
    </row>
  </sheetData>
  <mergeCells count="2">
    <mergeCell ref="A1:B1"/>
    <mergeCell ref="D1:E1"/>
  </mergeCell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01D3-FD8F-4EDF-B1D0-62860DF058C3}">
  <dimension ref="A1:E43"/>
  <sheetViews>
    <sheetView workbookViewId="0">
      <selection activeCell="G39" sqref="G39"/>
    </sheetView>
  </sheetViews>
  <sheetFormatPr defaultRowHeight="14.4" x14ac:dyDescent="0.3"/>
  <cols>
    <col min="1" max="5" width="13.77734375" customWidth="1"/>
  </cols>
  <sheetData>
    <row r="1" spans="1:5" x14ac:dyDescent="0.3">
      <c r="A1" s="88" t="s">
        <v>412</v>
      </c>
      <c r="B1" s="88"/>
      <c r="C1" s="86"/>
      <c r="D1" s="88" t="s">
        <v>412</v>
      </c>
      <c r="E1" s="88"/>
    </row>
    <row r="2" spans="1:5" x14ac:dyDescent="0.3">
      <c r="A2" s="1" t="s">
        <v>408</v>
      </c>
      <c r="B2" s="1" t="s">
        <v>409</v>
      </c>
      <c r="D2" s="82" t="s">
        <v>408</v>
      </c>
      <c r="E2" s="82" t="s">
        <v>409</v>
      </c>
    </row>
    <row r="3" spans="1:5" x14ac:dyDescent="0.3">
      <c r="A3" s="1">
        <v>1</v>
      </c>
      <c r="B3" s="1">
        <v>0</v>
      </c>
      <c r="D3" s="1">
        <v>1.5410000000000001E-3</v>
      </c>
      <c r="E3" s="1">
        <v>-6.8770000000000003E-3</v>
      </c>
    </row>
    <row r="4" spans="1:5" x14ac:dyDescent="0.3">
      <c r="A4" s="1">
        <v>0.99845899999999999</v>
      </c>
      <c r="B4" s="1">
        <v>2.24E-4</v>
      </c>
      <c r="D4" s="1">
        <v>6.156E-3</v>
      </c>
      <c r="E4" s="1">
        <v>-1.3502999999999999E-2</v>
      </c>
    </row>
    <row r="5" spans="1:5" x14ac:dyDescent="0.3">
      <c r="A5" s="1">
        <v>0.99384399999999995</v>
      </c>
      <c r="B5" s="1">
        <v>8.9099999999999997E-4</v>
      </c>
      <c r="D5" s="1">
        <v>1.3814999999999999E-2</v>
      </c>
      <c r="E5" s="1">
        <v>-1.9854E-2</v>
      </c>
    </row>
    <row r="6" spans="1:5" x14ac:dyDescent="0.3">
      <c r="A6" s="1">
        <v>0.98618499999999998</v>
      </c>
      <c r="B6" s="1">
        <v>1.99E-3</v>
      </c>
      <c r="D6" s="1">
        <v>2.4472000000000001E-2</v>
      </c>
      <c r="E6" s="1">
        <v>-2.5892999999999999E-2</v>
      </c>
    </row>
    <row r="7" spans="1:5" x14ac:dyDescent="0.3">
      <c r="A7" s="1">
        <v>0.97552799999999995</v>
      </c>
      <c r="B7" s="1">
        <v>3.5010000000000002E-3</v>
      </c>
      <c r="D7" s="1">
        <v>3.8059999999999997E-2</v>
      </c>
      <c r="E7" s="1">
        <v>-3.1579999999999997E-2</v>
      </c>
    </row>
    <row r="8" spans="1:5" x14ac:dyDescent="0.3">
      <c r="A8" s="1">
        <v>0.96194000000000002</v>
      </c>
      <c r="B8" s="1">
        <v>5.3990000000000002E-3</v>
      </c>
      <c r="D8" s="1">
        <v>5.4496999999999997E-2</v>
      </c>
      <c r="E8" s="1">
        <v>-3.6866999999999997E-2</v>
      </c>
    </row>
    <row r="9" spans="1:5" x14ac:dyDescent="0.3">
      <c r="A9" s="1">
        <v>0.94550299999999998</v>
      </c>
      <c r="B9" s="1">
        <v>7.6509999999999998E-3</v>
      </c>
      <c r="D9" s="1">
        <v>7.3679999999999995E-2</v>
      </c>
      <c r="E9" s="1">
        <v>-4.1704999999999999E-2</v>
      </c>
    </row>
    <row r="10" spans="1:5" x14ac:dyDescent="0.3">
      <c r="A10" s="1">
        <v>0.92632000000000003</v>
      </c>
      <c r="B10" s="1">
        <v>1.0220999999999999E-2</v>
      </c>
      <c r="D10" s="1">
        <v>9.5491999999999994E-2</v>
      </c>
      <c r="E10" s="1">
        <v>-4.6049E-2</v>
      </c>
    </row>
    <row r="11" spans="1:5" x14ac:dyDescent="0.3">
      <c r="A11" s="1">
        <v>0.90450799999999998</v>
      </c>
      <c r="B11" s="1">
        <v>1.3070999999999999E-2</v>
      </c>
      <c r="D11" s="1">
        <v>0.119797</v>
      </c>
      <c r="E11" s="1">
        <v>-4.9854000000000002E-2</v>
      </c>
    </row>
    <row r="12" spans="1:5" x14ac:dyDescent="0.3">
      <c r="A12" s="1">
        <v>0.88020299999999996</v>
      </c>
      <c r="B12" s="1">
        <v>1.6157999999999999E-2</v>
      </c>
      <c r="D12" s="1">
        <v>0.14644699999999999</v>
      </c>
      <c r="E12" s="1">
        <v>-5.3082999999999998E-2</v>
      </c>
    </row>
    <row r="13" spans="1:5" x14ac:dyDescent="0.3">
      <c r="A13" s="1">
        <v>0.85355300000000001</v>
      </c>
      <c r="B13" s="1">
        <v>1.9438E-2</v>
      </c>
      <c r="D13" s="1">
        <v>0.17527599999999999</v>
      </c>
      <c r="E13" s="1">
        <v>-5.5708000000000001E-2</v>
      </c>
    </row>
    <row r="14" spans="1:5" x14ac:dyDescent="0.3">
      <c r="A14" s="1">
        <v>0.82472400000000001</v>
      </c>
      <c r="B14" s="1">
        <v>2.2869E-2</v>
      </c>
      <c r="D14" s="1">
        <v>0.20610700000000001</v>
      </c>
      <c r="E14" s="1">
        <v>-5.7711999999999999E-2</v>
      </c>
    </row>
    <row r="15" spans="1:5" x14ac:dyDescent="0.3">
      <c r="A15" s="1">
        <v>0.79389299999999996</v>
      </c>
      <c r="B15" s="1">
        <v>2.6405000000000001E-2</v>
      </c>
      <c r="D15" s="1">
        <v>0.23875099999999999</v>
      </c>
      <c r="E15" s="1">
        <v>-5.9088000000000002E-2</v>
      </c>
    </row>
    <row r="16" spans="1:5" x14ac:dyDescent="0.3">
      <c r="A16" s="1">
        <v>0.76124899999999995</v>
      </c>
      <c r="B16" s="1">
        <v>0.03</v>
      </c>
      <c r="D16" s="1">
        <v>0.273005</v>
      </c>
      <c r="E16" s="1">
        <v>-5.9840999999999998E-2</v>
      </c>
    </row>
    <row r="17" spans="1:5" x14ac:dyDescent="0.3">
      <c r="A17" s="1">
        <v>0.72699499999999995</v>
      </c>
      <c r="B17" s="1">
        <v>3.3610000000000001E-2</v>
      </c>
      <c r="D17" s="1">
        <v>0.30865799999999999</v>
      </c>
      <c r="E17" s="1">
        <v>-5.9988E-2</v>
      </c>
    </row>
    <row r="18" spans="1:5" x14ac:dyDescent="0.3">
      <c r="A18" s="1">
        <v>0.69134200000000001</v>
      </c>
      <c r="B18" s="1">
        <v>3.7187999999999999E-2</v>
      </c>
      <c r="D18" s="1">
        <v>0.34549200000000002</v>
      </c>
      <c r="E18" s="1">
        <v>-5.9556999999999999E-2</v>
      </c>
    </row>
    <row r="19" spans="1:5" x14ac:dyDescent="0.3">
      <c r="A19" s="1">
        <v>0.65450799999999998</v>
      </c>
      <c r="B19" s="1">
        <v>4.0686E-2</v>
      </c>
      <c r="D19" s="1">
        <v>0.38327699999999998</v>
      </c>
      <c r="E19" s="1">
        <v>-5.8582000000000002E-2</v>
      </c>
    </row>
    <row r="20" spans="1:5" x14ac:dyDescent="0.3">
      <c r="A20" s="1">
        <v>0.61672300000000002</v>
      </c>
      <c r="B20" s="1">
        <v>4.4054999999999997E-2</v>
      </c>
      <c r="D20" s="1">
        <v>0.42178300000000002</v>
      </c>
      <c r="E20" s="1">
        <v>-5.7107999999999999E-2</v>
      </c>
    </row>
    <row r="21" spans="1:5" x14ac:dyDescent="0.3">
      <c r="A21" s="1">
        <v>0.57821699999999998</v>
      </c>
      <c r="B21" s="1">
        <v>4.7241999999999999E-2</v>
      </c>
      <c r="D21" s="1">
        <v>0.46077000000000001</v>
      </c>
      <c r="E21" s="1">
        <v>-5.5183999999999997E-2</v>
      </c>
    </row>
    <row r="22" spans="1:5" x14ac:dyDescent="0.3">
      <c r="A22" s="1">
        <v>0.53922999999999999</v>
      </c>
      <c r="B22" s="1">
        <v>5.0195999999999998E-2</v>
      </c>
      <c r="D22" s="1">
        <v>0.5</v>
      </c>
      <c r="E22" s="1">
        <v>-5.2861999999999999E-2</v>
      </c>
    </row>
    <row r="23" spans="1:5" x14ac:dyDescent="0.3">
      <c r="A23" s="1">
        <v>0.5</v>
      </c>
      <c r="B23" s="1">
        <v>5.2861999999999999E-2</v>
      </c>
      <c r="D23" s="1">
        <v>0.53922999999999999</v>
      </c>
      <c r="E23" s="1">
        <v>-5.0195999999999998E-2</v>
      </c>
    </row>
    <row r="24" spans="1:5" x14ac:dyDescent="0.3">
      <c r="A24" s="1">
        <v>0.46077000000000001</v>
      </c>
      <c r="B24" s="1">
        <v>5.5183999999999997E-2</v>
      </c>
      <c r="D24" s="1">
        <v>0.57821699999999998</v>
      </c>
      <c r="E24" s="1">
        <v>-4.7241999999999999E-2</v>
      </c>
    </row>
    <row r="25" spans="1:5" x14ac:dyDescent="0.3">
      <c r="A25" s="1">
        <v>0.42178300000000002</v>
      </c>
      <c r="B25" s="1">
        <v>5.7107999999999999E-2</v>
      </c>
      <c r="D25" s="1">
        <v>0.61672300000000002</v>
      </c>
      <c r="E25" s="1">
        <v>-4.4054999999999997E-2</v>
      </c>
    </row>
    <row r="26" spans="1:5" x14ac:dyDescent="0.3">
      <c r="A26" s="1">
        <v>0.38327699999999998</v>
      </c>
      <c r="B26" s="1">
        <v>5.8582000000000002E-2</v>
      </c>
      <c r="D26" s="1">
        <v>0.65450799999999998</v>
      </c>
      <c r="E26" s="1">
        <v>-4.0686E-2</v>
      </c>
    </row>
    <row r="27" spans="1:5" x14ac:dyDescent="0.3">
      <c r="A27" s="1">
        <v>0.34549200000000002</v>
      </c>
      <c r="B27" s="1">
        <v>5.9556999999999999E-2</v>
      </c>
      <c r="D27" s="1">
        <v>0.69134200000000001</v>
      </c>
      <c r="E27" s="1">
        <v>-3.7187999999999999E-2</v>
      </c>
    </row>
    <row r="28" spans="1:5" x14ac:dyDescent="0.3">
      <c r="A28" s="1">
        <v>0.30865799999999999</v>
      </c>
      <c r="B28" s="1">
        <v>5.9988E-2</v>
      </c>
      <c r="D28" s="1">
        <v>0.72699499999999995</v>
      </c>
      <c r="E28" s="1">
        <v>-3.3610000000000001E-2</v>
      </c>
    </row>
    <row r="29" spans="1:5" x14ac:dyDescent="0.3">
      <c r="A29" s="1">
        <v>0.273005</v>
      </c>
      <c r="B29" s="1">
        <v>5.9840999999999998E-2</v>
      </c>
      <c r="D29" s="1">
        <v>0.76124899999999995</v>
      </c>
      <c r="E29" s="1">
        <v>-0.03</v>
      </c>
    </row>
    <row r="30" spans="1:5" x14ac:dyDescent="0.3">
      <c r="A30" s="1">
        <v>0.23875099999999999</v>
      </c>
      <c r="B30" s="1">
        <v>5.9088000000000002E-2</v>
      </c>
      <c r="D30" s="1">
        <v>0.79389299999999996</v>
      </c>
      <c r="E30" s="1">
        <v>-2.6405000000000001E-2</v>
      </c>
    </row>
    <row r="31" spans="1:5" x14ac:dyDescent="0.3">
      <c r="A31" s="1">
        <v>0.20610700000000001</v>
      </c>
      <c r="B31" s="1">
        <v>5.7711999999999999E-2</v>
      </c>
      <c r="D31" s="1">
        <v>0.82472400000000001</v>
      </c>
      <c r="E31" s="1">
        <v>-2.2869E-2</v>
      </c>
    </row>
    <row r="32" spans="1:5" x14ac:dyDescent="0.3">
      <c r="A32" s="1">
        <v>0.17527599999999999</v>
      </c>
      <c r="B32" s="1">
        <v>5.5708000000000001E-2</v>
      </c>
      <c r="D32" s="1">
        <v>0.85355300000000001</v>
      </c>
      <c r="E32" s="1">
        <v>-1.9438E-2</v>
      </c>
    </row>
    <row r="33" spans="1:5" x14ac:dyDescent="0.3">
      <c r="A33" s="1">
        <v>0.14644699999999999</v>
      </c>
      <c r="B33" s="1">
        <v>5.3082999999999998E-2</v>
      </c>
      <c r="D33" s="1">
        <v>0.88020299999999996</v>
      </c>
      <c r="E33" s="1">
        <v>-1.6157999999999999E-2</v>
      </c>
    </row>
    <row r="34" spans="1:5" x14ac:dyDescent="0.3">
      <c r="A34" s="1">
        <v>0.119797</v>
      </c>
      <c r="B34" s="1">
        <v>4.9854000000000002E-2</v>
      </c>
      <c r="D34" s="1">
        <v>0.90450799999999998</v>
      </c>
      <c r="E34" s="1">
        <v>-1.3070999999999999E-2</v>
      </c>
    </row>
    <row r="35" spans="1:5" x14ac:dyDescent="0.3">
      <c r="A35" s="1">
        <v>9.5491999999999994E-2</v>
      </c>
      <c r="B35" s="1">
        <v>4.6049E-2</v>
      </c>
      <c r="D35" s="1">
        <v>0.92632000000000003</v>
      </c>
      <c r="E35" s="1">
        <v>-1.0220999999999999E-2</v>
      </c>
    </row>
    <row r="36" spans="1:5" x14ac:dyDescent="0.3">
      <c r="A36" s="1">
        <v>7.3679999999999995E-2</v>
      </c>
      <c r="B36" s="1">
        <v>4.1704999999999999E-2</v>
      </c>
      <c r="D36" s="1">
        <v>0.94550299999999998</v>
      </c>
      <c r="E36" s="1">
        <v>-7.6509999999999998E-3</v>
      </c>
    </row>
    <row r="37" spans="1:5" x14ac:dyDescent="0.3">
      <c r="A37" s="1">
        <v>5.4496999999999997E-2</v>
      </c>
      <c r="B37" s="1">
        <v>3.6866999999999997E-2</v>
      </c>
      <c r="D37" s="1">
        <v>0.96194000000000002</v>
      </c>
      <c r="E37" s="1">
        <v>-5.3990000000000002E-3</v>
      </c>
    </row>
    <row r="38" spans="1:5" x14ac:dyDescent="0.3">
      <c r="A38" s="1">
        <v>3.8059999999999997E-2</v>
      </c>
      <c r="B38" s="1">
        <v>3.1579999999999997E-2</v>
      </c>
      <c r="D38" s="1">
        <v>0.97552799999999995</v>
      </c>
      <c r="E38" s="1">
        <v>-3.5010000000000002E-3</v>
      </c>
    </row>
    <row r="39" spans="1:5" x14ac:dyDescent="0.3">
      <c r="A39" s="1">
        <v>2.4472000000000001E-2</v>
      </c>
      <c r="B39" s="1">
        <v>2.5892999999999999E-2</v>
      </c>
      <c r="D39" s="1">
        <v>0.98618499999999998</v>
      </c>
      <c r="E39" s="1">
        <v>-1.99E-3</v>
      </c>
    </row>
    <row r="40" spans="1:5" x14ac:dyDescent="0.3">
      <c r="A40" s="1">
        <v>1.3814999999999999E-2</v>
      </c>
      <c r="B40" s="1">
        <v>1.9854E-2</v>
      </c>
      <c r="D40" s="1">
        <v>0.99384399999999995</v>
      </c>
      <c r="E40" s="1">
        <v>-8.9099999999999997E-4</v>
      </c>
    </row>
    <row r="41" spans="1:5" x14ac:dyDescent="0.3">
      <c r="A41" s="1">
        <v>6.156E-3</v>
      </c>
      <c r="B41" s="1">
        <v>1.3502999999999999E-2</v>
      </c>
      <c r="D41" s="1">
        <v>0.99845899999999999</v>
      </c>
      <c r="E41" s="1">
        <v>-2.24E-4</v>
      </c>
    </row>
    <row r="42" spans="1:5" x14ac:dyDescent="0.3">
      <c r="A42" s="1">
        <v>1.5410000000000001E-3</v>
      </c>
      <c r="B42" s="1">
        <v>6.8770000000000003E-3</v>
      </c>
      <c r="D42" s="1">
        <v>1</v>
      </c>
      <c r="E42" s="1">
        <v>0</v>
      </c>
    </row>
    <row r="43" spans="1:5" x14ac:dyDescent="0.3">
      <c r="A43" s="1">
        <v>0</v>
      </c>
      <c r="B43" s="1">
        <v>0</v>
      </c>
    </row>
  </sheetData>
  <mergeCells count="2">
    <mergeCell ref="A1:B1"/>
    <mergeCell ref="D1:E1"/>
  </mergeCell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C9EC9-44EC-4317-B8F7-38AD9BD59B1B}">
  <dimension ref="A1:E33"/>
  <sheetViews>
    <sheetView workbookViewId="0">
      <selection activeCell="G39" sqref="G39"/>
    </sheetView>
  </sheetViews>
  <sheetFormatPr defaultRowHeight="14.4" x14ac:dyDescent="0.3"/>
  <cols>
    <col min="1" max="5" width="13.77734375" customWidth="1"/>
  </cols>
  <sheetData>
    <row r="1" spans="1:5" s="86" customFormat="1" x14ac:dyDescent="0.3">
      <c r="A1" s="88" t="s">
        <v>130</v>
      </c>
      <c r="B1" s="88"/>
      <c r="D1" s="88" t="s">
        <v>130</v>
      </c>
      <c r="E1" s="88"/>
    </row>
    <row r="2" spans="1:5" x14ac:dyDescent="0.3">
      <c r="A2" s="1" t="s">
        <v>408</v>
      </c>
      <c r="B2" s="1" t="s">
        <v>409</v>
      </c>
      <c r="D2" s="1" t="s">
        <v>408</v>
      </c>
      <c r="E2" s="1" t="s">
        <v>409</v>
      </c>
    </row>
    <row r="3" spans="1:5" x14ac:dyDescent="0.3">
      <c r="A3" s="1">
        <v>1</v>
      </c>
      <c r="B3" s="1">
        <v>0</v>
      </c>
      <c r="D3" s="1">
        <v>5.0000000000000001E-4</v>
      </c>
      <c r="E3" s="1">
        <v>-1.8E-3</v>
      </c>
    </row>
    <row r="4" spans="1:5" x14ac:dyDescent="0.3">
      <c r="A4" s="1">
        <v>0.95</v>
      </c>
      <c r="B4" s="1">
        <v>1.1599999999999999E-2</v>
      </c>
      <c r="D4" s="1">
        <v>1E-3</v>
      </c>
      <c r="E4" s="1">
        <v>-2.7000000000000001E-3</v>
      </c>
    </row>
    <row r="5" spans="1:5" x14ac:dyDescent="0.3">
      <c r="A5" s="1">
        <v>0.9</v>
      </c>
      <c r="B5" s="1">
        <v>2.18E-2</v>
      </c>
      <c r="D5" s="1">
        <v>2.5000000000000001E-3</v>
      </c>
      <c r="E5" s="1">
        <v>-4.3E-3</v>
      </c>
    </row>
    <row r="6" spans="1:5" x14ac:dyDescent="0.3">
      <c r="A6" s="1">
        <v>0.85</v>
      </c>
      <c r="B6" s="1">
        <v>3.0700000000000002E-2</v>
      </c>
      <c r="D6" s="1">
        <v>5.0000000000000001E-3</v>
      </c>
      <c r="E6" s="1">
        <v>-5.7999999999999996E-3</v>
      </c>
    </row>
    <row r="7" spans="1:5" x14ac:dyDescent="0.3">
      <c r="A7" s="1">
        <v>0.8</v>
      </c>
      <c r="B7" s="1">
        <v>3.8399999999999997E-2</v>
      </c>
      <c r="D7" s="1">
        <v>1.4999999999999999E-2</v>
      </c>
      <c r="E7" s="1">
        <v>-9.7999999999999997E-3</v>
      </c>
    </row>
    <row r="8" spans="1:5" x14ac:dyDescent="0.3">
      <c r="A8" s="1">
        <v>0.75</v>
      </c>
      <c r="B8" s="1">
        <v>4.4999999999999998E-2</v>
      </c>
      <c r="D8" s="1">
        <v>0.02</v>
      </c>
      <c r="E8" s="1">
        <v>-1.12E-2</v>
      </c>
    </row>
    <row r="9" spans="1:5" x14ac:dyDescent="0.3">
      <c r="A9" s="1">
        <v>0.7</v>
      </c>
      <c r="B9" s="1">
        <v>5.0299999999999997E-2</v>
      </c>
      <c r="D9" s="1">
        <v>2.5000000000000001E-2</v>
      </c>
      <c r="E9" s="1">
        <v>-1.2500000000000001E-2</v>
      </c>
    </row>
    <row r="10" spans="1:5" x14ac:dyDescent="0.3">
      <c r="A10" s="1">
        <v>0.65</v>
      </c>
      <c r="B10" s="1">
        <v>5.4800000000000001E-2</v>
      </c>
      <c r="D10" s="1">
        <v>3.7499999999999999E-2</v>
      </c>
      <c r="E10" s="1">
        <v>-1.52E-2</v>
      </c>
    </row>
    <row r="11" spans="1:5" x14ac:dyDescent="0.3">
      <c r="A11" s="1">
        <v>0.6</v>
      </c>
      <c r="B11" s="1">
        <v>5.8500000000000003E-2</v>
      </c>
      <c r="D11" s="1">
        <v>0.05</v>
      </c>
      <c r="E11" s="1">
        <v>-1.7500000000000002E-2</v>
      </c>
    </row>
    <row r="12" spans="1:5" x14ac:dyDescent="0.3">
      <c r="A12" s="1">
        <v>0.55000000000000004</v>
      </c>
      <c r="B12" s="1">
        <v>6.13E-2</v>
      </c>
      <c r="D12" s="1">
        <v>7.4999999999999997E-2</v>
      </c>
      <c r="E12" s="1">
        <v>-2.1600000000000001E-2</v>
      </c>
    </row>
    <row r="13" spans="1:5" x14ac:dyDescent="0.3">
      <c r="A13" s="1">
        <v>0.5</v>
      </c>
      <c r="B13" s="1">
        <v>6.3600000000000004E-2</v>
      </c>
      <c r="D13" s="1">
        <v>0.1</v>
      </c>
      <c r="E13" s="1">
        <v>-2.5399999999999999E-2</v>
      </c>
    </row>
    <row r="14" spans="1:5" x14ac:dyDescent="0.3">
      <c r="A14" s="1">
        <v>0.45</v>
      </c>
      <c r="B14" s="1">
        <v>6.54E-2</v>
      </c>
      <c r="D14" s="1">
        <v>0.125</v>
      </c>
      <c r="E14" s="1">
        <v>-2.8799999999999999E-2</v>
      </c>
    </row>
    <row r="15" spans="1:5" x14ac:dyDescent="0.3">
      <c r="A15" s="1">
        <v>0.4</v>
      </c>
      <c r="B15" s="1">
        <v>6.6699999999999995E-2</v>
      </c>
      <c r="D15" s="1">
        <v>0.15</v>
      </c>
      <c r="E15" s="1">
        <v>-3.2000000000000001E-2</v>
      </c>
    </row>
    <row r="16" spans="1:5" x14ac:dyDescent="0.3">
      <c r="A16" s="1">
        <v>0.35</v>
      </c>
      <c r="B16" s="1">
        <v>6.7299999999999999E-2</v>
      </c>
      <c r="D16" s="1">
        <v>0.2</v>
      </c>
      <c r="E16" s="1">
        <v>-3.7499999999999999E-2</v>
      </c>
    </row>
    <row r="17" spans="1:5" x14ac:dyDescent="0.3">
      <c r="A17" s="1">
        <v>0.3</v>
      </c>
      <c r="B17" s="1">
        <v>6.7400000000000002E-2</v>
      </c>
      <c r="D17" s="1">
        <v>0.25</v>
      </c>
      <c r="E17" s="1">
        <v>-4.1700000000000001E-2</v>
      </c>
    </row>
    <row r="18" spans="1:5" x14ac:dyDescent="0.3">
      <c r="A18" s="1">
        <v>0.25</v>
      </c>
      <c r="B18" s="1">
        <v>6.6500000000000004E-2</v>
      </c>
      <c r="D18" s="1">
        <v>0.3</v>
      </c>
      <c r="E18" s="1">
        <v>-4.4499999999999998E-2</v>
      </c>
    </row>
    <row r="19" spans="1:5" x14ac:dyDescent="0.3">
      <c r="A19" s="1">
        <v>0.2</v>
      </c>
      <c r="B19" s="1">
        <v>6.4299999999999996E-2</v>
      </c>
      <c r="D19" s="1">
        <v>0.35</v>
      </c>
      <c r="E19" s="1">
        <v>-4.58E-2</v>
      </c>
    </row>
    <row r="20" spans="1:5" x14ac:dyDescent="0.3">
      <c r="A20" s="1">
        <v>0.15</v>
      </c>
      <c r="B20" s="1">
        <v>5.9900000000000002E-2</v>
      </c>
      <c r="D20" s="1">
        <v>0.4</v>
      </c>
      <c r="E20" s="1">
        <v>-4.5699999999999998E-2</v>
      </c>
    </row>
    <row r="21" spans="1:5" x14ac:dyDescent="0.3">
      <c r="A21" s="1">
        <v>0.125</v>
      </c>
      <c r="B21" s="1">
        <v>5.6599999999999998E-2</v>
      </c>
      <c r="D21" s="1">
        <v>0.45</v>
      </c>
      <c r="E21" s="1">
        <v>-4.4299999999999999E-2</v>
      </c>
    </row>
    <row r="22" spans="1:5" x14ac:dyDescent="0.3">
      <c r="A22" s="1">
        <v>0.1</v>
      </c>
      <c r="B22" s="1">
        <v>5.21E-2</v>
      </c>
      <c r="D22" s="1">
        <v>0.5</v>
      </c>
      <c r="E22" s="1">
        <v>-4.1700000000000001E-2</v>
      </c>
    </row>
    <row r="23" spans="1:5" x14ac:dyDescent="0.3">
      <c r="A23" s="1">
        <v>7.4999999999999997E-2</v>
      </c>
      <c r="B23" s="1">
        <v>4.65E-2</v>
      </c>
      <c r="D23" s="1">
        <v>0.55000000000000004</v>
      </c>
      <c r="E23" s="1">
        <v>-3.8300000000000001E-2</v>
      </c>
    </row>
    <row r="24" spans="1:5" x14ac:dyDescent="0.3">
      <c r="A24" s="1">
        <v>0.05</v>
      </c>
      <c r="B24" s="1">
        <v>3.8399999999999997E-2</v>
      </c>
      <c r="D24" s="1">
        <v>0.6</v>
      </c>
      <c r="E24" s="1">
        <v>-3.44E-2</v>
      </c>
    </row>
    <row r="25" spans="1:5" x14ac:dyDescent="0.3">
      <c r="A25" s="1">
        <v>3.7499999999999999E-2</v>
      </c>
      <c r="B25" s="1">
        <v>3.3399999999999999E-2</v>
      </c>
      <c r="D25" s="1">
        <v>0.65</v>
      </c>
      <c r="E25" s="1">
        <v>-3.0300000000000001E-2</v>
      </c>
    </row>
    <row r="26" spans="1:5" x14ac:dyDescent="0.3">
      <c r="A26" s="1">
        <v>2.5000000000000001E-2</v>
      </c>
      <c r="B26" s="1">
        <v>2.7099999999999999E-2</v>
      </c>
      <c r="D26" s="1">
        <v>0.7</v>
      </c>
      <c r="E26" s="1">
        <v>-2.5999999999999999E-2</v>
      </c>
    </row>
    <row r="27" spans="1:5" x14ac:dyDescent="0.3">
      <c r="A27" s="1">
        <v>0.02</v>
      </c>
      <c r="B27" s="1">
        <v>2.4199999999999999E-2</v>
      </c>
      <c r="D27" s="1">
        <v>0.75</v>
      </c>
      <c r="E27" s="1">
        <v>-2.18E-2</v>
      </c>
    </row>
    <row r="28" spans="1:5" x14ac:dyDescent="0.3">
      <c r="A28" s="1">
        <v>1.4999999999999999E-2</v>
      </c>
      <c r="B28" s="1">
        <v>2.07E-2</v>
      </c>
      <c r="D28" s="1">
        <v>0.8</v>
      </c>
      <c r="E28" s="1">
        <v>-1.7399999999999999E-2</v>
      </c>
    </row>
    <row r="29" spans="1:5" x14ac:dyDescent="0.3">
      <c r="A29" s="1">
        <v>5.0000000000000001E-3</v>
      </c>
      <c r="B29" s="1">
        <v>1.12E-2</v>
      </c>
      <c r="D29" s="1">
        <v>0.85</v>
      </c>
      <c r="E29" s="1">
        <v>-1.32E-2</v>
      </c>
    </row>
    <row r="30" spans="1:5" x14ac:dyDescent="0.3">
      <c r="A30" s="1">
        <v>2.5000000000000001E-3</v>
      </c>
      <c r="B30" s="1">
        <v>7.7999999999999996E-3</v>
      </c>
      <c r="D30" s="1">
        <v>0.9</v>
      </c>
      <c r="E30" s="1">
        <v>-8.9999999999999993E-3</v>
      </c>
    </row>
    <row r="31" spans="1:5" x14ac:dyDescent="0.3">
      <c r="A31" s="1">
        <v>1E-3</v>
      </c>
      <c r="B31" s="1">
        <v>5.0000000000000001E-3</v>
      </c>
      <c r="D31" s="1">
        <v>0.95</v>
      </c>
      <c r="E31" s="1">
        <v>-4.7000000000000002E-3</v>
      </c>
    </row>
    <row r="32" spans="1:5" x14ac:dyDescent="0.3">
      <c r="A32" s="1">
        <v>5.0000000000000001E-4</v>
      </c>
      <c r="B32" s="1">
        <v>3.7000000000000002E-3</v>
      </c>
      <c r="D32" s="1">
        <v>1</v>
      </c>
      <c r="E32" s="1">
        <v>0</v>
      </c>
    </row>
    <row r="33" spans="1:2" x14ac:dyDescent="0.3">
      <c r="A33" s="1">
        <v>0</v>
      </c>
      <c r="B33" s="1">
        <v>0</v>
      </c>
    </row>
  </sheetData>
  <mergeCells count="2">
    <mergeCell ref="A1:B1"/>
    <mergeCell ref="D1:E1"/>
  </mergeCells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"/>
  <sheetViews>
    <sheetView workbookViewId="0"/>
  </sheetViews>
  <sheetFormatPr defaultRowHeight="14.4" x14ac:dyDescent="0.3"/>
  <cols>
    <col min="1" max="1" width="128.88671875" bestFit="1" customWidth="1"/>
  </cols>
  <sheetData>
    <row r="1" spans="1:1" x14ac:dyDescent="0.3">
      <c r="A1" t="s">
        <v>416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341:A342"/>
  <sheetViews>
    <sheetView topLeftCell="A341" workbookViewId="0">
      <selection activeCell="A343" sqref="A343"/>
    </sheetView>
  </sheetViews>
  <sheetFormatPr defaultRowHeight="14.4" x14ac:dyDescent="0.3"/>
  <sheetData>
    <row r="341" spans="1:1" x14ac:dyDescent="0.3">
      <c r="A341" t="s">
        <v>417</v>
      </c>
    </row>
    <row r="342" spans="1:1" x14ac:dyDescent="0.3">
      <c r="A342" t="s">
        <v>418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/>
  <dimension ref="A1:S13"/>
  <sheetViews>
    <sheetView workbookViewId="0">
      <selection activeCell="A4" sqref="A4"/>
    </sheetView>
  </sheetViews>
  <sheetFormatPr defaultRowHeight="14.4" x14ac:dyDescent="0.3"/>
  <cols>
    <col min="1" max="1" width="82.109375" bestFit="1" customWidth="1"/>
    <col min="2" max="2" width="15.88671875" bestFit="1" customWidth="1"/>
    <col min="3" max="3" width="18.88671875" bestFit="1" customWidth="1"/>
    <col min="4" max="4" width="22.5546875" bestFit="1" customWidth="1"/>
    <col min="5" max="5" width="22.5546875" customWidth="1"/>
    <col min="6" max="6" width="27.88671875" bestFit="1" customWidth="1"/>
    <col min="7" max="7" width="12.109375" bestFit="1" customWidth="1"/>
    <col min="8" max="8" width="21.109375" bestFit="1" customWidth="1"/>
    <col min="9" max="11" width="18.6640625" bestFit="1" customWidth="1"/>
    <col min="12" max="12" width="18.33203125" bestFit="1" customWidth="1"/>
    <col min="13" max="13" width="18.6640625" bestFit="1" customWidth="1"/>
    <col min="14" max="14" width="20.88671875" bestFit="1" customWidth="1"/>
    <col min="15" max="15" width="19.88671875" bestFit="1" customWidth="1"/>
    <col min="16" max="16" width="17.88671875" bestFit="1" customWidth="1"/>
    <col min="17" max="17" width="19" bestFit="1" customWidth="1"/>
    <col min="18" max="18" width="12.109375" bestFit="1" customWidth="1"/>
    <col min="19" max="19" width="14.33203125" bestFit="1" customWidth="1"/>
  </cols>
  <sheetData>
    <row r="1" spans="1:19" ht="15" customHeight="1" thickBot="1" x14ac:dyDescent="0.35">
      <c r="A1" s="71" t="s">
        <v>415</v>
      </c>
      <c r="B1" s="7" t="s">
        <v>31</v>
      </c>
      <c r="C1" s="13" t="s">
        <v>66</v>
      </c>
      <c r="D1" s="19" t="s">
        <v>67</v>
      </c>
      <c r="E1" s="21" t="s">
        <v>68</v>
      </c>
      <c r="F1" s="21" t="s">
        <v>131</v>
      </c>
      <c r="G1" s="13" t="s">
        <v>73</v>
      </c>
      <c r="H1" s="19" t="s">
        <v>132</v>
      </c>
      <c r="I1" s="20" t="s">
        <v>75</v>
      </c>
      <c r="J1" s="15" t="s">
        <v>76</v>
      </c>
      <c r="K1" s="14" t="s">
        <v>77</v>
      </c>
      <c r="L1" s="14" t="s">
        <v>78</v>
      </c>
      <c r="M1" s="13" t="s">
        <v>79</v>
      </c>
      <c r="N1" s="21" t="s">
        <v>80</v>
      </c>
      <c r="O1" s="14" t="s">
        <v>61</v>
      </c>
      <c r="P1" s="14" t="s">
        <v>94</v>
      </c>
      <c r="Q1" s="14" t="s">
        <v>55</v>
      </c>
      <c r="R1" s="14" t="s">
        <v>133</v>
      </c>
      <c r="S1" s="13" t="s">
        <v>107</v>
      </c>
    </row>
    <row r="2" spans="1:19" x14ac:dyDescent="0.3">
      <c r="A2" s="5" t="s">
        <v>414</v>
      </c>
      <c r="B2" s="8" t="s">
        <v>40</v>
      </c>
      <c r="C2" s="3" t="s">
        <v>134</v>
      </c>
      <c r="D2" s="16" t="s">
        <v>135</v>
      </c>
      <c r="E2" s="23" t="s">
        <v>136</v>
      </c>
      <c r="F2" s="22" t="s">
        <v>137</v>
      </c>
      <c r="G2" s="3" t="s">
        <v>138</v>
      </c>
      <c r="H2" s="16" t="s">
        <v>139</v>
      </c>
      <c r="I2" s="4" t="s">
        <v>140</v>
      </c>
      <c r="J2" s="4" t="s">
        <v>140</v>
      </c>
      <c r="K2" s="10" t="s">
        <v>140</v>
      </c>
      <c r="L2" s="11" t="s">
        <v>141</v>
      </c>
      <c r="M2" s="11" t="s">
        <v>140</v>
      </c>
      <c r="N2" s="4" t="s">
        <v>140</v>
      </c>
      <c r="O2" s="16" t="s">
        <v>99</v>
      </c>
      <c r="P2" s="11" t="s">
        <v>142</v>
      </c>
      <c r="Q2" s="11" t="s">
        <v>95</v>
      </c>
      <c r="R2" s="11" t="s">
        <v>143</v>
      </c>
      <c r="S2" s="3" t="s">
        <v>125</v>
      </c>
    </row>
    <row r="3" spans="1:19" ht="15" customHeight="1" thickBot="1" x14ac:dyDescent="0.35">
      <c r="A3" s="5" t="s">
        <v>419</v>
      </c>
      <c r="B3" s="8" t="s">
        <v>144</v>
      </c>
      <c r="C3" s="3" t="s">
        <v>145</v>
      </c>
      <c r="D3" s="16" t="s">
        <v>146</v>
      </c>
      <c r="E3" s="3" t="s">
        <v>97</v>
      </c>
      <c r="F3" s="16" t="s">
        <v>147</v>
      </c>
      <c r="G3" s="3" t="s">
        <v>148</v>
      </c>
      <c r="H3" s="16" t="s">
        <v>149</v>
      </c>
      <c r="I3" s="3" t="s">
        <v>150</v>
      </c>
      <c r="J3" s="3" t="s">
        <v>150</v>
      </c>
      <c r="K3" s="11" t="s">
        <v>150</v>
      </c>
      <c r="L3" s="11" t="s">
        <v>136</v>
      </c>
      <c r="M3" s="11" t="s">
        <v>150</v>
      </c>
      <c r="N3" s="3" t="s">
        <v>150</v>
      </c>
      <c r="O3" s="18" t="s">
        <v>102</v>
      </c>
      <c r="P3" s="12" t="s">
        <v>98</v>
      </c>
      <c r="Q3" s="11" t="s">
        <v>151</v>
      </c>
      <c r="R3" s="11" t="s">
        <v>152</v>
      </c>
      <c r="S3" s="3" t="s">
        <v>153</v>
      </c>
    </row>
    <row r="4" spans="1:19" ht="15" customHeight="1" thickBot="1" x14ac:dyDescent="0.35">
      <c r="A4" s="5"/>
      <c r="B4" s="8" t="s">
        <v>154</v>
      </c>
      <c r="C4" s="3" t="s">
        <v>155</v>
      </c>
      <c r="D4" s="16" t="s">
        <v>156</v>
      </c>
      <c r="E4" s="3" t="s">
        <v>157</v>
      </c>
      <c r="F4" s="16" t="s">
        <v>158</v>
      </c>
      <c r="G4" s="3" t="s">
        <v>159</v>
      </c>
      <c r="H4" s="18" t="s">
        <v>160</v>
      </c>
      <c r="I4" s="3" t="s">
        <v>161</v>
      </c>
      <c r="J4" s="3" t="s">
        <v>161</v>
      </c>
      <c r="K4" s="11" t="s">
        <v>161</v>
      </c>
      <c r="L4" s="11" t="s">
        <v>162</v>
      </c>
      <c r="M4" s="11" t="s">
        <v>161</v>
      </c>
      <c r="N4" s="3" t="s">
        <v>161</v>
      </c>
      <c r="Q4" s="12" t="s">
        <v>163</v>
      </c>
      <c r="R4" s="12" t="s">
        <v>164</v>
      </c>
      <c r="S4" s="6" t="s">
        <v>165</v>
      </c>
    </row>
    <row r="5" spans="1:19" ht="15" customHeight="1" thickBot="1" x14ac:dyDescent="0.35">
      <c r="A5" s="5"/>
      <c r="B5" s="9" t="s">
        <v>166</v>
      </c>
      <c r="C5" s="3" t="s">
        <v>167</v>
      </c>
      <c r="D5" s="16" t="s">
        <v>96</v>
      </c>
      <c r="E5" s="3" t="s">
        <v>168</v>
      </c>
      <c r="F5" s="18" t="s">
        <v>169</v>
      </c>
      <c r="G5" s="6" t="s">
        <v>100</v>
      </c>
      <c r="I5" s="6" t="s">
        <v>170</v>
      </c>
      <c r="J5" s="6" t="s">
        <v>170</v>
      </c>
      <c r="K5" s="12" t="s">
        <v>170</v>
      </c>
      <c r="L5" s="11" t="s">
        <v>171</v>
      </c>
      <c r="M5" s="12" t="s">
        <v>170</v>
      </c>
      <c r="N5" s="6" t="s">
        <v>170</v>
      </c>
    </row>
    <row r="6" spans="1:19" ht="15" customHeight="1" thickBot="1" x14ac:dyDescent="0.35">
      <c r="A6" s="5"/>
      <c r="C6" s="3" t="s">
        <v>172</v>
      </c>
      <c r="D6" s="16" t="s">
        <v>173</v>
      </c>
      <c r="E6" s="6" t="s">
        <v>174</v>
      </c>
      <c r="L6" s="6" t="s">
        <v>175</v>
      </c>
    </row>
    <row r="7" spans="1:19" x14ac:dyDescent="0.3">
      <c r="A7" s="3"/>
      <c r="C7" s="3" t="s">
        <v>176</v>
      </c>
      <c r="D7" s="17" t="s">
        <v>177</v>
      </c>
    </row>
    <row r="8" spans="1:19" x14ac:dyDescent="0.3">
      <c r="A8" s="3"/>
      <c r="C8" s="3" t="s">
        <v>178</v>
      </c>
      <c r="D8" s="17" t="s">
        <v>179</v>
      </c>
    </row>
    <row r="9" spans="1:19" x14ac:dyDescent="0.3">
      <c r="A9" s="3"/>
      <c r="C9" s="3" t="s">
        <v>180</v>
      </c>
      <c r="D9" s="17" t="s">
        <v>181</v>
      </c>
    </row>
    <row r="10" spans="1:19" ht="15" customHeight="1" thickBot="1" x14ac:dyDescent="0.35">
      <c r="A10" s="3"/>
      <c r="C10" s="6" t="s">
        <v>182</v>
      </c>
      <c r="D10" s="17" t="s">
        <v>183</v>
      </c>
    </row>
    <row r="11" spans="1:19" ht="15" thickBot="1" x14ac:dyDescent="0.35">
      <c r="A11" s="6"/>
      <c r="D11" s="3" t="s">
        <v>184</v>
      </c>
    </row>
    <row r="12" spans="1:19" ht="15" customHeight="1" x14ac:dyDescent="0.3">
      <c r="D12" s="3" t="s">
        <v>185</v>
      </c>
    </row>
    <row r="13" spans="1:19" ht="15" customHeight="1" thickBot="1" x14ac:dyDescent="0.35">
      <c r="D13" s="6" t="s">
        <v>186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5118A8-A180-4657-8CA1-55117AB8E9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meshing_data</vt:lpstr>
      <vt:lpstr>solution_data</vt:lpstr>
      <vt:lpstr>adjoint_data</vt:lpstr>
      <vt:lpstr>Sheet1</vt:lpstr>
      <vt:lpstr>laptop_info</vt:lpstr>
      <vt:lpstr>NASA_SC(2)_0714</vt:lpstr>
      <vt:lpstr>NACA_2412</vt:lpstr>
      <vt:lpstr>NACA_0012</vt:lpstr>
      <vt:lpstr>BACXXX</vt:lpstr>
      <vt:lpstr>mesh_paths</vt:lpstr>
      <vt:lpstr>solution_paths</vt:lpstr>
      <vt:lpstr>setup</vt:lpstr>
      <vt:lpstr>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</dc:creator>
  <cp:lastModifiedBy>(Student  C00290924) Dachi Dzeria</cp:lastModifiedBy>
  <cp:lastPrinted>2026-03-24T15:40:46Z</cp:lastPrinted>
  <dcterms:created xsi:type="dcterms:W3CDTF">2015-06-05T18:19:34Z</dcterms:created>
  <dcterms:modified xsi:type="dcterms:W3CDTF">2026-04-01T08:19:44Z</dcterms:modified>
</cp:coreProperties>
</file>